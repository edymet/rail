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CK- Laptop\Downloads\rail-main\rail-main\data\"/>
    </mc:Choice>
  </mc:AlternateContent>
  <xr:revisionPtr revIDLastSave="0" documentId="13_ncr:1_{F614CDB8-2A2A-4AEA-B700-4F4D2534FDC6}" xr6:coauthVersionLast="47" xr6:coauthVersionMax="47" xr10:uidLastSave="{00000000-0000-0000-0000-000000000000}"/>
  <bookViews>
    <workbookView xWindow="-108" yWindow="-108" windowWidth="23256" windowHeight="12456" xr2:uid="{00000000-000D-0000-FFFF-FFFF00000000}"/>
  </bookViews>
  <sheets>
    <sheet name="ΒΑΣΗ ΕΡΓΩΝ" sheetId="1" r:id="rId1"/>
    <sheet name="📖 ΟΔΗΓΙΕΣ" sheetId="2" r:id="rId2"/>
    <sheet name="Προγράμματα" sheetId="3" r:id="rId3"/>
  </sheets>
  <definedNames>
    <definedName name="_xlnm._FilterDatabase" localSheetId="0" hidden="1">'ΒΑΣΗ ΕΡΓΩΝ'!$A$3:$AE$25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4" i="1" l="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<sst xmlns="http://schemas.openxmlformats.org/spreadsheetml/2006/main" count="443" uniqueCount="312">
  <si>
    <t>ΕΝΟΠΟΙΗΜΕΝΗ ΒΑΣΗ ΣΙΔΗΡΟΔΡΟΜΙΚΩΝ ΕΡΓΩΝ  |  ERGA_2 + DETAIL_DATA</t>
  </si>
  <si>
    <t>Ημερομηνία Ενημέρωσης:</t>
  </si>
  <si>
    <t>🔗  ΚΟΙΝΕΣ ΣΤΗΛΕΣ (ERGA_2 + detail_data)</t>
  </si>
  <si>
    <t>🗺️  ERGA_2  –  Κείμενα χάρτη (σύντομα)</t>
  </si>
  <si>
    <t>📋  detail_data  –  Αναλυτικές πληροφορίες (popup)</t>
  </si>
  <si>
    <t>📍  ΓΕΩΓΡΑΦΙΚΑ</t>
  </si>
  <si>
    <t>ID</t>
  </si>
  <si>
    <t>Tab (Πρόγραμμα)</t>
  </si>
  <si>
    <t>Σύντομο Όνομα</t>
  </si>
  <si>
    <t>Τίτλος Έργου</t>
  </si>
  <si>
    <t>ΔΕΔ-Μ</t>
  </si>
  <si>
    <t>Δικαιούχος</t>
  </si>
  <si>
    <t>Πρόγραμμα</t>
  </si>
  <si>
    <t>Χρηματοδότηση</t>
  </si>
  <si>
    <t>Ποσό Σύμβασης</t>
  </si>
  <si>
    <t>Ανάδοχος</t>
  </si>
  <si>
    <t>Ημ. Υπογραφής</t>
  </si>
  <si>
    <t>Προθεσμία (σύντομη)</t>
  </si>
  <si>
    <t>Αντικείμενο
(descr/tion – αρχικό popup)</t>
  </si>
  <si>
    <t>Κατάσταση / Ποσοστά %
(σύντομη – χάρτης)</t>
  </si>
  <si>
    <t>Ετικέτα % 1</t>
  </si>
  <si>
    <t>Ετικέτα % 2</t>
  </si>
  <si>
    <t>Ετικέτα % 3</t>
  </si>
  <si>
    <t>Κωδικός MIS / ΑΠ / GA / ΟΠΣ
(αναλυτικός)</t>
  </si>
  <si>
    <t>Φάση Κύριου Υποέργου</t>
  </si>
  <si>
    <t>Αντικείμενο / Σχόλια
(αναλυτικό – popup)</t>
  </si>
  <si>
    <t>Κρίσιμα Θέματα /
Άμεσες Ενέργειες</t>
  </si>
  <si>
    <t>Ημ/νία Ένταξης Πράξης</t>
  </si>
  <si>
    <t>Γεωγρ. Πλάτος</t>
  </si>
  <si>
    <t>Γεωγρ. Μήκος</t>
  </si>
  <si>
    <t>ΕΠ ΥΜΕΠΕΡΑΑ</t>
  </si>
  <si>
    <t>ΔΙΑΚΟΠΤΟ-ΡΟΔΟΔΑΦΝΗ</t>
  </si>
  <si>
    <t xml:space="preserve">ΚΑΤΑΣΚΕΥΗ ΝΕΑΣ ΔΙΠΛΗΣ ΣΙΔΗΡΟΔΡΟΜΙΚΗΣ ΓΡΑΜΜΗΣ ΣΤΟ ΤΜΗΜΑ ΔΙΑΚΟΠΤΟ-ΡΟΔΟΔΑΦΝΗ, ΦΑΣΗ Β'  </t>
  </si>
  <si>
    <t>Κεντρικό</t>
  </si>
  <si>
    <t xml:space="preserve">ΣΙΔΗΡΟΔΡΟΜΟΙ ΕΛΛΑΔΟΣ Μ.Α.Ε.
</t>
  </si>
  <si>
    <t>ΕΠ ΥΜΕΠΕΡΑΑ 2014-2020</t>
  </si>
  <si>
    <t>39.302.718,72 € (Συγχρηματοδοτούμενη Δημόσια δαπάνη)</t>
  </si>
  <si>
    <t>272.464.553 €, χωρίς Φ.Π.Α. (Αρχική Σύμβαση και τρείς Σ.Σ.Ε.)</t>
  </si>
  <si>
    <t>ΜΕΤΚΑ Α.Ε.</t>
  </si>
  <si>
    <t>11.09.2014</t>
  </si>
  <si>
    <t>Η πράξη αφορά στην ολοκλήρωση της κατασκευής των έργων υποδομής και επιδομής σιδηροδρομικής γραμμής με σηματοδότηση, τηλεδιοίκηση και τηλεπικοινωνίες στο τμήμα Διακοπτό-Ροδοδάφνη μήκους 16χλμ περίπου.</t>
  </si>
  <si>
    <t xml:space="preserve">Οι εργασίες έχουν περατωθεί και εκκρεμεί η υποβολή φακέλου στη ΡΑΣ για έγκριση θέσης σε λειτουργία του υποσυστήματος «Υποδομή». 
Η πράξη είναι ημιτελής λόγω της εκκρεμότητας κατασκευής των έργων διευθέτησης τμημάτων του Βουραϊκού ποταμού, καθώς  και των αντιπλημμυρικών έργων ανάντη και κατάντη της σιδηροδρομικής γραμμής στην περιοχή του Ελαιώνα.  </t>
  </si>
  <si>
    <t>Ολοκληρωμένο
φυσικό αντικείμενο</t>
  </si>
  <si>
    <r>
      <rPr>
        <sz val="9"/>
        <rFont val="Arial"/>
      </rPr>
      <t xml:space="preserve">1. Υποβολή φακέλου στη ΡΑΣ </t>
    </r>
    <r>
      <rPr>
        <sz val="9"/>
        <color rgb="FFFF0000"/>
        <rFont val="Arial"/>
      </rPr>
      <t>για</t>
    </r>
    <r>
      <rPr>
        <sz val="9"/>
        <rFont val="Arial"/>
      </rPr>
      <t xml:space="preserve"> έγκριση θέσης σε λειτουργία του υποσυστήματος «Υποδομή».
2. </t>
    </r>
    <r>
      <rPr>
        <sz val="9"/>
        <color rgb="FFFF0000"/>
        <rFont val="Arial"/>
      </rPr>
      <t>Έγκριση θέσης σε λειτουργία του υποσυστήματος «Υποδομή» από τη ΡΑΣ
3. Διενέργεια Προσωρινής Παραλαβής του έργου
4.</t>
    </r>
    <r>
      <rPr>
        <sz val="9"/>
        <rFont val="Arial"/>
      </rPr>
      <t xml:space="preserve"> Κατασκευή έργων διευθέτησης τμημάτων του </t>
    </r>
    <r>
      <rPr>
        <sz val="9"/>
        <color rgb="FFFF0000"/>
        <rFont val="Arial"/>
      </rPr>
      <t>Βουραϊκού και</t>
    </r>
    <r>
      <rPr>
        <sz val="9"/>
        <rFont val="Arial"/>
      </rPr>
      <t xml:space="preserve"> των αντιπλημμυρικών έργων ανάντη και κατάντη της σιδηροδρομικής γραμμής στην περιοχή του </t>
    </r>
    <r>
      <rPr>
        <sz val="9"/>
        <color rgb="FFFF0000"/>
        <rFont val="Arial"/>
      </rPr>
      <t>Ελαιώνα</t>
    </r>
  </si>
  <si>
    <t>21.12.2016</t>
  </si>
  <si>
    <t>ΝΕΟΣ ΠΑΝΤΕΛΕΗΜΟΝΑΣ</t>
  </si>
  <si>
    <t>ΚΑΤΑΣΚΕΥΗ ΣΙΔΗΡΟΔΡΟΜΙΚΗΣ ΣΤΑΣΗΣ ΣΤΟ ΝΕΟ ΠΑΝΤΕΛΕΗΜΟΝΑ ΠΙΕΡΙΑΣ</t>
  </si>
  <si>
    <t>126.284,65 € (Συγχρηματοδοτούμενη Δημόσια Δαπάνη)</t>
  </si>
  <si>
    <t>1.112.183,57 €, χωρίς Φ.Π.Α. (Αρχική Σύμβαση και 1η Σ.Σ.Ε.)</t>
  </si>
  <si>
    <t>SOLIS Α.Ε.</t>
  </si>
  <si>
    <t>19.02.2021</t>
  </si>
  <si>
    <t>09.03.2026 (Εγκεκριμένη παράταση)</t>
  </si>
  <si>
    <t xml:space="preserve">Η πράξη αφορά στην κατασκευή νέας Σιδηροδρομικής Στάσης στην Παραλία Νέου Παντελεήμονα Πιερίας. </t>
  </si>
  <si>
    <r>
      <rPr>
        <sz val="9"/>
        <rFont val="Arial"/>
      </rPr>
      <t xml:space="preserve">Οι εργασίες της εργολαβίας έχουν ολοκληρωθεί και εκκρεμεί η έκδοση βεβαίωσης περαίωσης μετά την αποκατάσταση επουσιωδών ελλείψεων.
Η πράξη είναι ημιτελής διότι δεν έχουν ακόμη υλοποιηθεί οι αναγκαίες παρεμβάσεις στα τεχνικά δωμάτια των σταθμών Νέων Πόρων και Λεπτοκαρυάς, για τις απαραίτητες προσαρμογές του υφιστάμενου συστήματος σηματοδότησης στη λειτουργία της νέας στάσης, οι οποίες προβλέπονται σε ξεχωριστό υποέργο. 
</t>
    </r>
    <r>
      <rPr>
        <sz val="9"/>
        <color rgb="FFFF0000"/>
        <rFont val="Arial"/>
      </rPr>
      <t>Εξετάζονται οι εναλλακτικές επιλογές για την υλοποίηση του Υ/Ε 3.</t>
    </r>
  </si>
  <si>
    <t xml:space="preserve"> Σ752/2021: </t>
  </si>
  <si>
    <t>Σ752-1/2024:</t>
  </si>
  <si>
    <t>5002311</t>
  </si>
  <si>
    <t>Σε εξέλιξη</t>
  </si>
  <si>
    <t>Υλοποίηση των εργασιών  σηματοδότησης - τηλεδιοίκησης της Σιδηροδρομικής Στάσης</t>
  </si>
  <si>
    <t>02.10.2017</t>
  </si>
  <si>
    <t>ΥΠΟΛΕΙΠΟΜΕΝΕΣ ΕΡΓΑΣΙΕΣ ΣΤΟ Σ.Σ. ΑΘΗΝΩΝ - Β' ΦΑΣΗ</t>
  </si>
  <si>
    <t>ΥΠΟΛΕΙΠΟΜΕΝΕΣ ΕΡΓΑΣΙΕΣ ΣΙΔΗΡΟΔΡΟΜΙΚΗΣ ΥΠΟΔΟΜΗΣ, ΕΠΙΔΟΜΗΣ, ΗΛΕΚΤΡΟΚΙΝΗΣΗΣ ΣΤΟ Σ.Σ. ΑΘΗΝΩΝ ΚΑΙ ΣΥΝΔΕΣΗ ΤΟΥ ΜΕ ΜΕΤΡΟ - Β΄ ΦΑΣΗ Σ.Σ. ΑΘΗΝΩΝ</t>
  </si>
  <si>
    <t>4.794.827,87 € (Συγχρηματοδοτούμενη Δημόσια Δαπάνη)</t>
  </si>
  <si>
    <t>31.527.128,59 € (χωρίς Φ.Π.Α.)</t>
  </si>
  <si>
    <t>Κ/Ξ ΣΙΔΗΡΟΔΡΟΜΙΚΑ ΕΡΓΑ Α.Τ.Ε. – INTRAKOM ΚΑΤΑΣΚΕΥΕΣ Α.Ε.</t>
  </si>
  <si>
    <t>11.07.2022</t>
  </si>
  <si>
    <t>15.02.2027 (Αιτούμενη παράταση)</t>
  </si>
  <si>
    <t>Η πράξη αφορά στην ολοκλήρωση κατασκευής νέων ηλεκτροκινούμενων γραμμών (Nο 1 έως 3), αποβαθρών (Nο 1 έως 6), υπόγειων διαβάσεων, άνω πεζοδιαβάσεων, Η/Μ εγκαταστάσεων κλπ για την επικοινωνία του συνόλου των αποβαθρών του σιδηροδρομικού σταθμού και τη σύνδεσή του με τον Σταθμό «Λαρίσης» της Ελληνικό Μετρό Α.Ε.</t>
  </si>
  <si>
    <r>
      <rPr>
        <sz val="9"/>
        <rFont val="Arial"/>
      </rPr>
      <t xml:space="preserve">Η σύμβαση παρουσιάζει ποσοστό υλοποίησης περίπου </t>
    </r>
    <r>
      <rPr>
        <sz val="9"/>
        <color rgb="FFFF0000"/>
        <rFont val="Arial"/>
      </rPr>
      <t>38,8%.</t>
    </r>
    <r>
      <rPr>
        <sz val="9"/>
        <rFont val="Arial"/>
      </rPr>
      <t xml:space="preserve"> Σύμφωνα με τις εκτιμήσεις της Διαχειριστικής Αρχής υπάρχει σημαντική αβεβαιότητα για την ολοκλήρωση του έργου μέχρι τον Φεβρουάριο 2027.</t>
    </r>
  </si>
  <si>
    <t>27.07.2021</t>
  </si>
  <si>
    <t>ΜΕΤΑΦΟΡΕΣ</t>
  </si>
  <si>
    <t xml:space="preserve">ΣΔ ΣΥΝΔΕΣΗ 6ΟΥ ΠΡΟΒΛΗΤΑ </t>
  </si>
  <si>
    <t>ΣΙΔΗΡΟΔΡΟΜΙΚΗ ΣΥΝΔΕΣΗ 6ου ΠΡΟΒΛΗΤΑ ΤΟΥ ΛΙΜΕΝΑ ΘΕΣΣΑΛΟΝΙΚΗΣ</t>
  </si>
  <si>
    <t>Κεντρικό (Core)</t>
  </si>
  <si>
    <t xml:space="preserve">Πρόγραμμα «ΜΕΤΑΦΟΡΕΣ» 2021-2027 </t>
  </si>
  <si>
    <t>53.500.000 € 
(προϋπολογισμός δημοπράτησης - μαζί με Προαστιακό Δυτικής Θεσσαλονίκης)</t>
  </si>
  <si>
    <t>-</t>
  </si>
  <si>
    <t>4 έτη από την υπογραφή της  σύμβασης</t>
  </si>
  <si>
    <t xml:space="preserve">Η πράξη αφορά στην κατασκευή νέας σιδηροδρομικής γραμμής για τη σύνδεση του 6ου Προβλήτα του Οργανισμού Λιμένος Θεσσαλονίκης (ΟΛΘ) με την υφιστάμενη Σιδηροδρομική Γραμμή. </t>
  </si>
  <si>
    <t>Σε διαδικασία ανάθεσης</t>
  </si>
  <si>
    <r>
      <rPr>
        <sz val="9"/>
        <rFont val="Arial"/>
      </rPr>
      <t xml:space="preserve">Η πράξη αφορά </t>
    </r>
    <r>
      <rPr>
        <sz val="9"/>
        <color rgb="FFFF0000"/>
        <rFont val="Arial"/>
      </rPr>
      <t>στη σιδηροδρομική</t>
    </r>
    <r>
      <rPr>
        <sz val="9"/>
        <rFont val="Arial"/>
      </rPr>
      <t xml:space="preserve"> σύνδεση του 6ου Προβλήτα του </t>
    </r>
    <r>
      <rPr>
        <sz val="9"/>
        <color rgb="FFFF0000"/>
        <rFont val="Arial"/>
      </rPr>
      <t>Λιμένα Θεσσαλονίκης. Η πράξη προβλέπεται να υλοποιηθεί μέσω 7 Υποέργων:
Υ/Ε 1: Αφορά στη μελέτη και κατασκευή 2,225 χλμ νέας σιδηροδρομικής γραμμής διπλής υποδομής με μονή επιδομή, κανονικού εύρους (1.435 χιλ.) με επιδομή έρματος, η οποία ανήκει στην κατηγορία γραμμής F1 για εμπορευματική κυκλοφορία με περιτύπωμα GC και αξονικό φορτίο 22.5 tn/άξονα, η οποία θα ξεκινά από τη Χ.Θ. 3+923 της Σ.Γ. Θεσσαλονίκη - Ειδομένη (ΧΘ 0+000 γραμμής σύνδεσης 6ου προβλήτα) και θα καταλήγει στο όριο της χερσαίας ζώνης του Λιμένα Θεσσαλονίκης, πλησίον της Πύλης 16 του Λιμένα, ακολουθώντας την ανατολική όχθη του Δενδροποτάμου. Η ΣΓ θα είναι σηματοδοτούμενη με ETCS επιπέδου 1. μ. Η γραμμή θα διέρχεται μέσω τεχνικού γέφυρας μήκους περίπου 970 m (συνολικό μήκος υπερύψωσης σ.γ. περί τα 1440 m)
Υ/Ε 2: Αρχαιολογικές Εργασίες και Έρευνες Πόλης Θεσσαλονίκης
Υ/Ε 3: Απαλλοτριώσεις (συνολικής έκτασης 14.467,56 τ.μ.)
Υ/Ε 4: Έγκριση Τεχνικής Λύσης Εξοπλισμού ERTMS με τις ΤΔΠ από τον Οργανισμό Σιδηροδρόμων της Ευρωπαϊκής Ένωσης (ERA)
Υ/Ε 5: Υπηρεσίες Σύμβουλου Τεχνικής Υποστήριξης της ΣΕ ΜΑΕ κατά την κατασκευή του έργου
Υ/Ε 6: Μετατοπίσεις δικτύων ΟΚΩ
Υ/Ε 7: Εγκατάσταση ηχοπετασμάτων
Σύμβαση: "ΣΙΔΗΡΟΔΡΟΜΙΚΗ ΣΥΝΔΕΣΗ ΤΟΥ 6ΟΥ ΠΡΟΒΛΗΤΑ ΛΙΜΕΝΑ ΘΕΣΣΑΛΟΝΙΚΗΣ &amp; ΚΑΤΑΣΚΕΥΗ ΠΡΟΑΣΤΙΑΚΟΥ ΔΥΤΙΚΗΣ ΘΕΣΣΑΛΟΝΙΚΗΣ" (ΑΔ: 5301)
Σε εξέλιξη διαγωνισμός με τη διαδικασία Ανταγωνιστικού Διαλόγου για τη σύναψη σύμβασης "Μελέτη - Κατασκευή"
Προϋπολογισμός δημοπράτησης: 53.500.000,00 €, χωρίς ΦΠΑ (μαζί με το έργο Προαστιακού Σιδηροδρόμου Δυτικής Θεσσαλονίκης)
Δημοσίευση Διαγωνισμού: 3.12.2021
Α΄ Φάση Διαγωνισμού (Οριστικοποίηση προεπιλεγέντων για συμμετοχή στη διαδικασία): Ολοκληρώθηκε Απρίλιο 2022
Β.Ι Φάση Διαγωνισμού (Διεξαγωγή Διαλόγου):  Με τις από 21.05.2025 Αποφάσεις του Δ.Σ. της ΕΡΓΟΣΕ εγκρίθηκαν τα αποτελέσματα του Διαλόγου και κηρύχθηκε το πέρας αυτού και εγκρίθηκε ο σχεδιασμός/σύνθεση λύσεων για το έργο.
Στις 22.10.2025 εκδόθηκε η Τροποποίηση της ΑΕΠΟ. 
Στις 03.04.2026 εντάχθηκε στο ΤΠΑ ΥΠΥΜΕ 2026-2030 η πράξη "Κάλυψη της δαπάνης απαλλοτριώσεων για τη Σιδηροδρομική Σύνδεση του 6ου Προβλήτα Λιμένα Θεσσαλονίκης &amp; την κατασκευή Προαστιακού Δυτικής Θεσσαλονίκης" με συνολική επιλέξιμη δημόσια δαπάνη 11.015.600,00 €. Στις 04.05.2026 και στις 19.05.2026 εκδόθηκαν οι Αποφάσεις κήρυξης κατεπείγουσας αναγκαστικής απαλλοτρίωσης ακινήτων, με διάγραμμα οριζοντιογραφίας (επί ορθοφωτοχάρτη) που απαιτούνται για το Τμήμα 1 «Σιδηροδρομική Σύνδεση του 6ου Προβλήτα Λιμένα Θεσσαλονίκης» τόσο για την κατασκευή της Σιδηροδρομικής Γραμμής , όσο και για την κατασκευή του παράλληλου και κάθετου οδικού δικτύου.
Β.II Φάση Διαγωνισμού: Στις 07.05.2026 εγκρίθηκε από το ΔΣ της ΣΕ ΜΑΕ η Πρόσκληση της Β.ΙΙ Φάσης. Καταληκτική ημερομηνία ηλεκτρονικής υποβολής προσφορών: 28.08.2026 (σε συνέχεια της από 10.07.2026 απόφασης μετάθεσης των ημερομηνιών της διαγωνιστικής διαδικασίας)
Στις 04.09.2026 αποσφραγίστηκαν ο Υποφάκελος Α (Δικαιολογητικά Συμμετοχής) και Υποφάκελος Β (Τεχνική Προσφορά) των προσφερόντων. Ολοκληρώθηκε η αξιολόγηση των εν λόγω Υποφακέλων και στις 14.10.2026 πραγματοποιήθηκε η αποσφράγιση του Υποφακέλου Γ (Οικονομική Προσφορά) των προσφερόντων.
Η υπογραφή της σύμβασης εκτιμάται Δεκέμβριο του 2026.</t>
    </r>
  </si>
  <si>
    <r>
      <rPr>
        <sz val="9"/>
        <color rgb="FFFF0000"/>
        <rFont val="Arial"/>
      </rPr>
      <t>Ολοκλήρωση διαγωνιστικής διαδικασίας</t>
    </r>
  </si>
  <si>
    <t>15.10.2026</t>
  </si>
  <si>
    <t>ΠΡΟΑΣΤΙΑΚΟΣ ΔΥΤ. ΘΕΣΣΑΛΟΝΙΚΗΣ</t>
  </si>
  <si>
    <t>ΠΡΟΑΣΤΙΑΚΟΣ ΣΙΔΗΡΟΔΡΟΜΟΣ ΔΥΤΙΚΗΣ ΘΕΣΣΑΛΟΝΙΚΗΣ</t>
  </si>
  <si>
    <t>53.500.000 € 
(προϋπολογισμός δημοπράτησης - μαζί με τη ΣΔ σύνδεση 6ου προβλήτα)</t>
  </si>
  <si>
    <t>6050645</t>
  </si>
  <si>
    <r>
      <rPr>
        <sz val="9"/>
        <rFont val="Arial"/>
      </rPr>
      <t xml:space="preserve">Η </t>
    </r>
    <r>
      <rPr>
        <sz val="9"/>
        <color rgb="FFFF0000"/>
        <rFont val="Arial"/>
      </rPr>
      <t>Πράξη αφορά σε μελέτες και εργασίες για την</t>
    </r>
    <r>
      <rPr>
        <sz val="9"/>
        <rFont val="Arial"/>
      </rPr>
      <t xml:space="preserve"> ανάπτυξη του Προαστιακού </t>
    </r>
    <r>
      <rPr>
        <sz val="9"/>
        <color rgb="FFFF0000"/>
        <rFont val="Arial"/>
      </rPr>
      <t>Σιδηρόδρομου Δυτικής Θεσσαλονίκης, συνολικού μήκους 19,5 χλμ και θα υλοποιηθεί με τα ακόλουθα 7 υποέργα:
Υ/Ε 1: Περιλαμβάνει τις μελέτες και τις εργασίες για την ανάπτυξη του Προαστιακού Σιδηρόδρομου Δυτικής Θεσσαλονίκης, συνολικού μήκους 19,5 χλμ. δύο κλάδων σχήματος «Υ»</t>
    </r>
    <r>
      <rPr>
        <sz val="9"/>
        <rFont val="Arial"/>
      </rPr>
      <t xml:space="preserve"> από τα δυτικά </t>
    </r>
    <r>
      <rPr>
        <sz val="9"/>
        <color rgb="FFFF0000"/>
        <rFont val="Arial"/>
      </rPr>
      <t>(κλάδος από ΤΧ1 προς Σίνδο &amp; προς Αγχίαλο - Διαβατά)</t>
    </r>
    <r>
      <rPr>
        <sz val="9"/>
        <rFont val="Arial"/>
      </rPr>
      <t xml:space="preserve"> και από ενιαίο κλάδο προς τα </t>
    </r>
    <r>
      <rPr>
        <sz val="9"/>
        <color rgb="FFFF0000"/>
        <rFont val="Arial"/>
      </rPr>
      <t>ανατολικά από ΤΧ1 έως τον Νέο Σ.Σ. Θεσσαλονίκης με επτά (7) Σιδηροδρομικές Στάσεις/Σταθμούς (Σίνδου, Αγχιάλου, Διαβατών, Κορδελιού, Επτανήσου, Μενεμένης και Νέος Ε.Σ. Θεσσαλονίκης) με όλα τα συνοδά έργα
Υ/Ε 2: Αρχαιολογικές Εργασίες και Έρευνες Πόλης Θεσσαλονίκης
Υ/Ε 3: Αρχαιολογικές Εργασίες και Έρευνες Περιφέρειας Θεσσαλονίκης
Υ/Ε 4: Συμπληρωματικές Απαλλοτριώσεις
Υ/Ε 5: Υπηρεσίες ERA για έγκριση ETCS
Υ/Ε 6: Υπηρεσίες Σύμβουλου Τεχνικής Υποστήριξης της ΣΕ ΜΑΕ κατά την κατασκευή του έργου
Υ/Ε 7: Μετατοπίσεις δικτύων ΟΚΩ
Σύμβαση: "ΣΙΔΗΡΟΔΡΟΜΙΚΗ ΣΥΝΔΕΣΗ ΤΟΥ 6ΟΥ ΠΡΟΒΛΗΤΑ ΛΙΜΕΝΑ ΘΕΣΣΑΛΟΝΙΚΗΣ &amp; ΚΑΤΑΣΚΕΥΗ ΠΡΟΑΣΤΙΑΚΟΥ ΔΥΤΙΚΗΣ ΘΕΣΣΑΛΟΝΙΚΗΣ" (ΑΔ: 5301)
Σε εξέλιξη διαγωνισμός με τη διαδικασία Ανταγωνιστικού Διαλόγου για τη σύναψη σύμβασης "Μελέτη - Κατασκευή"
Προϋπολογισμός δημοπράτησης: 53.500.000,00 €, χωρίς ΦΠΑ (μαζί με το έργο Σ/Δ Σύνδεσης 6ου Προβλήτα Λιμένα Θεσσαλονίκης)
Δημοσίευση Διαγωνισμού: 3.12.2021
Α΄ Φάση Διαγωνισμού (Οριστικοποίηση προεπιλεγέντων για συμμετοχή στη διαδικασία): Ολοκληρώθηκε Απρίλιο 2022
Β.Ι Φάση Διαγωνισμού (Διεξαγωγή Διαλόγου): Με τις από 21.05.2025 Αποφάσεις του Δ.Σ. της ΕΡΓΟΣΕ εγκρίθηκαν τα αποτελέσματα του Διαλόγου και κηρύχθηκε το πέρας αυτού και εγκρίθηκε ο σχεδιασμός/σύνθεση λύσεων για το έργο.
Στις 20.11.2025 εκδόθηκε η Τροποποίηση της ΑΕΠΟ. 
Στις 03.04.2026 εντάχθηκε στο ΤΠΑ ΥΠΥΜΕ 2026-2030 η πράξη "Κάλυψη της δαπάνης απαλλοτριώσεων για τη Σιδηροδρομική Σύνδεση του 6ου Προβλήτα Λιμένα Θεσσαλονίκης &amp; την κατασκευή Προαστιακού Δυτικής Θεσσαλονίκης" με συνολική επιλέξιμη δημόσια δαπάνη 11.015.600,00 €. Στις 04.05.2026 και στις 22.05.2026 εκδόθηκαν οι Αποφάσεις κήρυξης κατεπείγουσας αναγκαστικής απαλλοτρίωσης ακινήτων, με διάγραμμα οριζοντιογραφίας (επί ορθοφωτοχάρτη) που απαιτούνται για το Τμήμα 2 «Κατασκευή Προαστιακού Δυτικής Θεσσαλονίκης».
Β.II Φάση Διαγωνισμού: Στις 07.05.2026 εγκρίθηκε από το ΔΣ της ΣΕ ΜΑΕ η Πρόσκληση της Β.ΙΙ Φάσης. Καταληκτική ημερομηνία ηλεκτρονικής υποβολής προσφορών: 28.08.2026 (σε συνέχεια της από 10.07.2026 απόφασης μετάθεσης των ημερομηνιών της διαγωνιστικής διαδικασίας) και ημερομηνία ηλεκτρονικής αποσφράγισης των προσφορών: 04.09.2026. 
Στις 04.09.2026 αποσφραγίστηκαν ο Υποφάκελος Α (Δικαιολογητικά Συμμετοχής) και Υποφάκελος Β (Τεχνική Προσφορά) των προσφερόντων. Ολοκληρώθηκε η αξιολόγηση των εν λόγω Υποφακέλων και στις 14.10.2026 πραγματοποιήθηκε η αποσφράγιση του Υποφακέλου Γ (Οικονομική Προσφορά) των προσφερόντων.
Η υπογραφή της σύμβασης εκτιμάται Δεκέμβριο του 2026.</t>
    </r>
  </si>
  <si>
    <t>ΕΓΚΑΤΑΣΤΑΣΗ ΣΥΣΤΗΜΑΤΩΝ ΑΛΕΞΑΝΔΡΟΥΠΟΛΗ - ΠΥΘΙΟ - ΟΡΜΕΝΙΟ</t>
  </si>
  <si>
    <t>ΕΓΚΑΤΑΣΤΑΣΗ ΣΥΣΤΗΜΑΤΩΝ (ΗΛΕΚΤΡΟΚΙΝΗΣΗ, ΣΗΜΑΤΟΔΟΤΗΣΗ, ΤΗΛΕΔΙΟΙΚΗΣΗ ΜΕ ETCS-LEVEL 1 &amp; GSM-R) ΣΤΗΝ ΑΝΑΒΑΘΜΙΣΜΕΝΗ ΜΟΝΗ ΣΙΔ/ΚΗ ΓΡΑΜΜΗ ΑΛΕΞΑΝΔΡΟΥΠΟΛΗ-ΠΥΘΙΟ-ΟΡΜΕΝΙΟ</t>
  </si>
  <si>
    <t>Πρόγραμμα «ΜΕΤΑΦΟΡΕΣ» 2021-2027 (Δράση 12.1)</t>
  </si>
  <si>
    <t>230.000.000,00 (εκτιμώμενος προϋπολογισμός)
Δεν έχει υποβληθεί αίτημα χρηματοδότησης.
Αναμένεται η έκδοση Πρόσκλησης από τη Δ.Α.</t>
  </si>
  <si>
    <t>~720.000.000 € 
(π/ϋ οριστικής λύσης Β.Ι Φάσης Ανταγωνιστικού διαλόγου για το σύνολο του έργου Αλεξανδούπολη - Πύθιο - Ορμένιο)</t>
  </si>
  <si>
    <t>Εκτίμηση: τέλη Φεβρουαρίου 2027</t>
  </si>
  <si>
    <t>4 έτη από την υπογραφή της σύμβασης</t>
  </si>
  <si>
    <t xml:space="preserve">Η πράξη αφορά στην εγκατάσταση ηλεκτροκίνησης και συστημάτων σηματοδότησης, τηλεδιοίκησης, ETCS–Level 1 και GSM-R στο σύνολο της γραμμής Αλεξανδρούπολη - Πύθιο - Ορμένιο. 
</t>
  </si>
  <si>
    <r>
      <rPr>
        <sz val="9"/>
        <color rgb="FFFF0000"/>
        <rFont val="Arial"/>
      </rPr>
      <t>Το έργο</t>
    </r>
    <r>
      <rPr>
        <sz val="9"/>
        <rFont val="Arial"/>
      </rPr>
      <t xml:space="preserve"> αφορά στην εγκατάσταση ηλεκτροκίνησης και συστημάτων σηματοδότησης, </t>
    </r>
    <r>
      <rPr>
        <sz val="9"/>
        <color rgb="FFFF0000"/>
        <rFont val="Arial"/>
      </rPr>
      <t>τηλεδιοίκησης με</t>
    </r>
    <r>
      <rPr>
        <sz val="9"/>
        <rFont val="Arial"/>
      </rPr>
      <t xml:space="preserve"> ETCS–Level 1 και GSM-R στο σύνολο της γραμμής Αλεξανδρούπολη - Πύθιο - </t>
    </r>
    <r>
      <rPr>
        <sz val="9"/>
        <color rgb="FFFF0000"/>
        <rFont val="Arial"/>
      </rPr>
      <t>Ορμένιο, συνολικού μήκους ~ 178 χλμ.</t>
    </r>
    <r>
      <rPr>
        <sz val="9"/>
        <rFont val="Arial"/>
      </rPr>
      <t xml:space="preserve">
Η προτεινόμενη πράξη έχει εκτιμώμενο π/ϋ ~ 230 εκ. € και περιλαμβάνεται στο αντικείμενο της σύμβασης «Μελέτη – Κατασκευή» του έργου «ΑΝΑΒΑΘΜΙΣΗ ΜΕ ΔΙΠΛΑΣΙΑΣΜΟ ΤΗΣ ΥΦΙΣΤΑΜΕΝΗΣ ΜΟΝΗΣ ΣΙΔΗΡΟΔΡΟΜΙΚΗΣ ΓΡΑΜΜΗΣ ΑΛΕΞΑΝΔΡΟΥΠΟΛΗ – ΠΥΘΙΟ – ΟΡΜΕΝΙΟ», η οποία βρίσκεται σε φάση δημοπράτησης με τη διαδικασία του Ανταγωνιστικού Διαλόγου, και συνολικό προϋπολογισμό (μετά την έγκριση της βέλτιστης λύσης) ~720 εκ. €. Ο συνολικός π/ϋ του έργου ανέρχεται σε ~780 εκ. € (~720 εκ. € για την εργολαβία, ~50 εκ. για απαλλοτριώσεις και ~10 εκ. € για Τεχνικό Σύμβουλο] και μέρος του, ύψους ~545,5 εκ.€ , που αφορά σε εργασίες υποδομής/επιδομής ΣΓ και οδοποιΐας, συγχρηματοδοτείται από  το CEF 2021-2027, στο πλαίσιο 2 ενταγμένων δράσεων για τα 2 επιμέρους τμήματα του άξονα Αλεξανδρούπολη – Πύθιο και Πύθιο – Ορμένιο. 
Ο Ανταγωνιστικός Διάλογος έχει προχωρήσει, με την ολοκλήρωση του σταδίου Β.Ι στις 5-12-2024. Στις 27-1-2025 εγκρίθηκε η βέλτιστη λύση (προϋπολογισμού 720 εκ €) και απεστάλησαν στο πλαίσιο των ενταγμένων πράξεων στο CEF II στην ΕΥΔ / ΜΕΤΑΦΟΡΕΣ για προέγκριση τα Τεύχη για το Β.ΙΙ στάδιο, κατά το οποίο θα προσκληθούν οι προεπιλεγέντες για υποβολή δεσμευτικής προσφοράς, ώστε να επιλεγεί ο ανάδοχος. Η Δ.Α. </t>
    </r>
    <r>
      <rPr>
        <sz val="9"/>
        <color rgb="FFFF0000"/>
        <rFont val="Arial"/>
      </rPr>
      <t>απέστειλε έγγραφο με παρατηρήσεις, τον Σεπτέμβριο επανυποβλήθηκαν από τη ΣΕ ΜΑΕ άτυπα τα Τεύχη Δημοπράτησης και είναι σε εξέλιξη συνεργασία με τη Δ.Α. για την επίσημη υποβολή τους μέσω ΟΠΣ.</t>
    </r>
    <r>
      <rPr>
        <sz val="9"/>
        <rFont val="Arial"/>
      </rPr>
      <t xml:space="preserve"> 
H υπογραφή της σύμβασης εκτιμάται τέλη Φεβρουαρίου 2027. Διάρκεια κατασκευής 4 έτη.
Στις 03.04.2026 υποβλήθηκε στην ΕΥΔ ΜΕΤΑΦΟΡΕΣ έντυπο εξειδίκευσης της Δράσης, στις 08.07.2026 εγκρίθηκε η 6η Εξειδίκευση του Προγράμματος "ΜΕΤΑΦΟΡΕΣ" 2021-2027 και αναμένεται η έκδοση της σχετικής πρόσκλησης για την υποβολή πρότασης χρηματοδότησης.</t>
    </r>
  </si>
  <si>
    <t>1. ΄Εκδοση πρόσκλησης από την ΕΥΔ ΜΕΤΑΦΟΡΕΣ για την υποβολή πρότασης χρηματοδότησης 
2. Ένταξη στο Πρόγραμμα "ΜΕΤΑΦΟΡΕΣ" 2021-2027</t>
  </si>
  <si>
    <t>ΜΕΣΤΗ - ΑΛΕΞΑΝΔΡΟΥΠΟΛΗ</t>
  </si>
  <si>
    <t>ΚΑΤΑΣΚΕΥΗ ΤΗΣ ΣΙΔΗΡΟΔΡΟΜΙΚΗΣ ΓΡΑΜΜΗΣ ΜΕΤΑΞΥ ΜΕΣΤΗΣ-ΑΛΕΞΑΝΔΡΟΥΠΟΛΗΣ</t>
  </si>
  <si>
    <t>Δεν έχει υποβληθεί αίτημα χρηματοδότησης.
Αναμένεται η έκδοση Πρόσκλησης από τη Δ.Α.</t>
  </si>
  <si>
    <t>210.000.000,00 
(εκτιμώμενος προϋπολογισμός)</t>
  </si>
  <si>
    <t>Προγραμματίζεται η δημοπράτηση με ανοιχτό μειοδοτικό διαγωνισμό εντός 6 μηνών μετά την εξασφάλιση της χρηματοδότησης</t>
  </si>
  <si>
    <t>3 έτη από την υπογραφή της σύμβασης</t>
  </si>
  <si>
    <t xml:space="preserve">Η πράξη αφορά στην κατασκευή παραλλαγής της υφιστάμενης  Σ/Γ μήκους 33,8 χλμ (εργασιες υποδομής και επιδομής), συμπεριλαμβανομένου του κλάδου προς τη Βιομηχανική Περιοχή Αλεξανδρούπολης. </t>
  </si>
  <si>
    <r>
      <rPr>
        <sz val="9"/>
        <rFont val="Arial"/>
      </rPr>
      <t xml:space="preserve">Έχουν εκπονηθεί και εγκριθεί οι οριστικές μελέτες. Έχουν συνταχθεί σχέδια Τευχών Δημοπράτησης και υπάρχουν εγκεκριμένοι Περιβαλλοντικοί Όροι σε ισχύ. 
Δρομολογείται άμεσα η ανάθεση  εκπόνησης Ανάλυσης Κόστους Οφέλους (πιθανώς για τον ευρύτερο άξονα Θεσσαλονίκη - Αλεξανδρούπολη/ Σύνορα). 
</t>
    </r>
    <r>
      <rPr>
        <sz val="9"/>
        <color rgb="FFFF0000"/>
        <rFont val="Arial"/>
      </rPr>
      <t>Με τα από 18-09-2026 και 20-09-2026 έγγραφα της Δ/νσης Δ25 του ΥΠΥΜΕ διατυπώθηκαν παρατηρήσεις επί των κτηματολογίων και βρίσκεται σε εξέλιξη η συμπλήρωση των απαιτούμενων στοιχείων. Εκκρεμεί</t>
    </r>
    <r>
      <rPr>
        <sz val="9"/>
        <rFont val="Arial"/>
      </rPr>
      <t xml:space="preserve"> η κήρυξη των απαλλοτριώσεων.</t>
    </r>
  </si>
  <si>
    <t>Σε ωρίμανση</t>
  </si>
  <si>
    <r>
      <rPr>
        <sz val="9"/>
        <rFont val="Arial"/>
      </rPr>
      <t xml:space="preserve">Το έργο αφορά στην κατασκευή παραλλαγής της υφιστάμενης  Σ/Γ μήκους 33,8 χλμ, συμπεριλαμβανομένου του κλάδου προς τη Βιομηχανική Περιοχή Αλεξανδρούπολης. 
Ειδικότερα περιλαμβάνει:
	-  τις απαιτούμενες απαλλοτριώσεις
	- την κατασκευή της νέας αναβαθμισμένης γραμμής, συμπεριλαμβανομένων της υποδομής και της επιδομής, την αντικατάσταση των υφιστάμενων γεφυρών, την κατασκευή νέων σηράγγων, καθώς και λοιπές εργασίες που απαιτούνται για την αναβάθμιση και τη διασφάλιση της διαλειτουργικότητας της γραμμής, μαζί με τις απαραίτητες συμπληρωματικές εργασίες (οδικά- υδραυλικά έργα, μετεγκατάσταση / προστασία Δικτύων Κοινής Ωφέλειας κ.λπ.),
	- την κατασκευή σε νέα θέση των σταθμών (Μέστης και Κίρκης), τις εργασίες αναβάθμισης του σταθμού Ποτάμου και την κατασκευή νέας στάσης στη Συκορράχη.
Η προτεινόμενη πράξη έχει εκτιμώμενο π/υ ~ 210 εκ. €. Έχουν εκπονηθεί και εγκριθεί οι οριστικές μελέτες. Έχουν συνταχθεί σχέδια Τευχών Δημοπράτησης και υπάρχουν εγκεκριμένοι Περιβαλλοντικοί Όροι σε ισχύ. 
Δρομολογείται άμεσα η ανάθεση  εκπόνησης Ανάλυσης Κόστους Οφέλους (πιθανώς για τον ευρύτερο άξονα Θεσσαλονίκη - Αλεξανδρούπολη/ Σύνορα). 
</t>
    </r>
    <r>
      <rPr>
        <sz val="9"/>
        <color rgb="FFFF0000"/>
        <rFont val="Arial"/>
      </rPr>
      <t>Με τα από 18-09-2026 και 20-09-2026 έγγραφα της Διεύθυνσης Απαλλοτριώσεων, Τοπογραφήσεων και Γεωπληροφορικής (Δ/νση Δ25) του ΥΠΥΜΕ διατυπώθηκαν παρατηρήσεις επί των υποβληθέντων κτηματολογίων, για τις οποίες βρίσκεται σε εξέλιξη η συμπλήρωση και επεξεργασία των απαιτούμενων στοιχείων, προκειμένου να δοθούν οι σχετικές απαντήσεις.
Εκκρεμεί</t>
    </r>
    <r>
      <rPr>
        <sz val="9"/>
        <rFont val="Arial"/>
      </rPr>
      <t xml:space="preserve"> η κήρυξη των απαλλοτριώσεων και η ανάθεση της σύνταξης έκθεσης εκτίμησης της αποζημίωσης σε ανεξάρτητο πιστοποιημένο εκτιμητή. 
Προγραμματίζεται η δημοπράτηση με ανοιχτό μειοδοτικό διαγωνισμό εντός 6 μηνών μετά την εξασφάλιση της χρηματοδότησης, με εκτιμώμενη διάρκεια ολοκλήρωσης του έργου 3 έτη.
Στις 03.04.2026 υποβλήθηκε στην ΕΥΔ ΜΕΤΑΦΟΡΕΣ έντυπο εξειδίκευσης της Δράσης, στις 08.07.2026 εγκρίθηκε η 6η Εξειδίκευση του Προγράμματος "ΜΕΤΑΦΟΡΕΣ" 2021-2027 και αναμένεται η έκδοση της σχετικής πρόσκλησης για την υποβολή πρότασης χρηματοδότησης.</t>
    </r>
  </si>
  <si>
    <t>ΙΑΣΜΟΣ - ΠΟΛΥΑΝΘΟΣ</t>
  </si>
  <si>
    <t>ΚΑΤΑΣΚΕΥΗ ΤΗΣ ΣΙΔΗΡΟΔΡΟΜΙΚΗΣ ΓΡΑΜΜΗΣ ΜΕΤΑΞΥ ΙΑΣΜΟΥ-ΠΟΛΥΑΝΘΟΥ</t>
  </si>
  <si>
    <t>40.000.000,00 
(εκτιμώμενος προϋπολογισμός)</t>
  </si>
  <si>
    <t>2 έτη από την  υπογραφή της σύμβασης</t>
  </si>
  <si>
    <t>Η πράξη αφορά στην κατασκευή της νέας, αναβαθμισμένης γραμμής που περιλαμβάνει την υποδομή - με τη νέα γέφυρα του ποταμού Κομψάτου, μήκους 350 μ. και επιδομή.</t>
  </si>
  <si>
    <r>
      <rPr>
        <sz val="9"/>
        <rFont val="Arial"/>
      </rPr>
      <t xml:space="preserve">Το έργο αφορά στην κατασκευή σε νέα βελτιωμένη χάραξη Σ/Γ μήκους 7,04 χλμ. 
Ειδικότερα  περιλαμβάνει:
	-  τις απαιτούμενες απαλλοτριώσεις
	-  την κατασκευή της νέας, αναβαθμισμένης γραμμής που περιλαμβάνει την υποδομή - με τη νέα γέφυρα του ποταμού Κομψάτου, μήκους 350 μ. και επιδομή και γενικότερα όλες τις εργασίες που απαιτούνται για τη διασφάλιση της διαλειτουργικότητας της γραμμής και την κάλυψη των απαιτήσεων για τη στρατιωτική κινητικότητα, μαζί με τις απαραίτητες συμπληρωματικές εργασίες (οδικά- υδραυλικά έργα, μετεγκατάσταση / προστασία Δικτύων Κοινής Ωφέλειας κ.λπ.),
	- την κατασκευή σε άλλη θέση των Σιδηροδρομικών Σταθμών Ίασμου και Πολύανθου
Η προτεινόμενη πράξη έχει εκτιμώμενο π/υ ~ 40 εκ. €. Έχουν εκπονηθεί και εγκριθεί οι οριστικές μελέτες. Έχουν συνταχθεί σχέδια Τευχών Δημοπράτησης και υπάρχουν εγκεκριμένοι Περιβαλλοντικοί Όροι σε ισχύ. 
Δρομολογείται άμεσα η ανάθεση  εκπόνησης Ανάλυσης Κόστους Οφέλους (πιθανώς για τον ευρύτερο άξονα Θεσσαλονίκη - Αλεξανδρούπολη/ Σύνορα).  </t>
    </r>
    <r>
      <rPr>
        <sz val="9"/>
        <color rgb="FFFF0000"/>
        <rFont val="Arial"/>
      </rPr>
      <t>Με το από 10--08-2026 της Διεύθυνσης Απαλλοτριώσεων, Τοπογραφήσεων και Γεωπληροφορικής  (Δ/νση Δ25) του ΥΠΥΜΕ ολοκληρώθηκε η διαδικασία έγκρισης των κτηματολογίων και ζητήθηκε να σταλούν αντίγραφα μετά την εξασφάλιση της απαιτούμενης χρηματοδότησης και αφού καθορισθεί το ενάριθμο έργο που θα βαρύνει την υπόψη απαλλοτρίωση. Με το από 28-09-2026 έγγραφο ο μελετητής υπέβαλε τα απαιτούμενα αντίγραφα.   
Εκκρεμεί</t>
    </r>
    <r>
      <rPr>
        <sz val="9"/>
        <rFont val="Arial"/>
      </rPr>
      <t xml:space="preserve"> η κήρυξη των απαλλοτριώσεων και η ανάθεση της σύνταξης έκθεσης εκτίμησης της αποζημίωσης σε ανεξάρτητο πιστοποιημένο εκτιμητή. 
Προγραμματίζεται η δημοπράτηση με ανοιχτό μειοδοτικό διαγωνισμό εντός 6 μηνών μετά την εξασφάλιση της χρηματοδότησης, με εκτιμώμενη διάρκεια ολοκλήρωσης του έργου 2 έτη.
Στις 03.04.2026 υποβλήθηκε στην ΕΥΔ ΜΕΤΑΦΟΡΕΣ έντυπο εξειδίκευσης της Δράσης, στις 08.07.2026 εγκρίθηκε η 6η Εξειδίκευση του Προγράμματος "ΜΕΤΑΦΟΡΕΣ" 2021-2027 και αναμένεται η έκδοση της σχετικής πρόσκλησης για την υποβολή πρότασης χρηματοδότησης.</t>
    </r>
  </si>
  <si>
    <t>GSM-R  ΚΙΑΤΟ - ΡΙΟ, ΤΙΘΟΡΕΑ - ΔΟΜΟΚΟΣ, ΘΕΣΣΑΛΟΝΙΚΗ  – ΕΙΔΟΜΕΝΗ, ΠΑΛΑΙΟΦΑΡΣΑΛΟΣ - ΚΑΛΑΜΠΑΚΑ ΚΑΙ ΛΑΡΙΣΑ - ΒΟΛΟΣ</t>
  </si>
  <si>
    <t>ΠΡΟΜΗΘΕΙΑ ΣΥΣΤΗΜΑΤΟΣ GSM-R ΜΕ ΣΥΝΑΦΕΙΣ ΥΠΗΡΕΣΙΕΣ ΓΙΑ ΤΑ ΤΜΗΜΑΤΑ ΓΡΑΜΜΗΣ ΚΙΑΤΟ - ΡΙΟ, ΤΙΘΟΡΕΑ - ΔΟΜΟΚΟΣ, ΘΕΣΣΑΛΟΝΙΚΗ  – ΕΙΔΟΜΕΝΗ, ΠΑΛΑΙΟΦΑΡΣΑΛΟΣ - ΚΑΛΑΜΠΑΚΑ ΚΑΙ ΛΑΡΙΣΑ - ΒΟΛΟΣ</t>
  </si>
  <si>
    <t>Τιθορέα - Δομοκός: Κεντρικό (Core), 
Θεσ/κη - Ειδομένη: Κεντρικό (Core),
Κιάτο - Ρίο: Κεντρικό (Core),
Παλαιοφάρσαλος - Καλαμπακα: Κεντρικό (Core), 
Λάρισα - Βόλος: Συνολικό (Comprehensive)</t>
  </si>
  <si>
    <t>Πρόγραμμα «ΜΕΤΑΦΟΡΕΣ» 2021-2027</t>
  </si>
  <si>
    <t xml:space="preserve"> 45.974.884,50 € (Συγχρηματοδοτούμενη Δημόσια Δαπάνη σύμφωνα με το αίτημα χρηματοδότησης που υποβλήθηκε από τη ΣΕ ΜΑΕ)</t>
  </si>
  <si>
    <t>45.000.000 € 
(εκτιμώμενος προϋπολογισμός)</t>
  </si>
  <si>
    <r>
      <rPr>
        <sz val="9"/>
        <rFont val="Arial"/>
      </rPr>
      <t xml:space="preserve">Σύμφωνα με την από 16.06.2025 Απόφαση της Κυβερνητικής Επιτροπής Συμβάσεων Στρατηγικής Σημασίας, το έργο έχει ενταχθεί στο Αναπτυξιακό Πρόγραμμα Συμβάσεων Στρατηγικής Σημασίας του Ν.4799/2021 και έχει περιέλθει στις αρμοδιότητες της Ελληνικής Εταιρείας Συμμετοχών και Περιουσίας (ΕΕΣΥΠ) ΑΕ για την ωρίμανση, διενέργεια διαγωνισμών και εκτέλεση των συμβάσεων υλοποίησής του. Στις 03.02.2026 υπογράφηκε η προβλεπόμενη στο άρθρο 5β του Ν. 3986/2011 Σύμβαση μεταξύ του ΥΠΥΜΕ, της ΣΙΔΗΡΟΔΡΟΜΟΙ ΕΛΛΑΔΟΣ ΜΑΕ και της ΕΕΣΥΠ ΑΕ.
Η ΣΕ ΜΑΕ έχει υποβάλει αίτημα χρηματοδότησης στη Διαχειριστική Αρχή, το οποίο είναι σε φάση αξιολόγησης.
</t>
    </r>
    <r>
      <rPr>
        <sz val="9"/>
        <color rgb="FFFF0000"/>
        <rFont val="Arial"/>
      </rPr>
      <t>Στις 29.09.2026 η Δ.Α. υπέγραψε σύμβαση παροχής υπηρεσιών συμβούλου για τον έλεγχο της Μελέτης Σκοπιμότητας &amp; των Τευχών Δημοπράτησης του έργου.</t>
    </r>
  </si>
  <si>
    <r>
      <rPr>
        <sz val="9"/>
        <rFont val="Arial"/>
      </rPr>
      <t xml:space="preserve">Η πράξη έχει ως αντικείμενο τη μελέτη εφαρμογής, προμήθεια και εγκατάσταση εξοπλισμού GSM-R για τα τμήματα του άξονα ΠΑΘΕΠ Τιθορέα – Δομοκός, Θεσσαλονίκη – Ειδομένη και Κιάτο – Ρίο, καθώς και για τα τμήματα Παλαιοφάρσαλος - Καλαμπάκα και Λάρισα - Βόλος.
Η υποβληθείσα για χρηματοδότηση πρόταση περιλαμβάνει 4 Υποέργα:
- Υ/Ε 1: Προμήθεια συστήματος GSM-R με συναφείς υπηρεσίες για τα τμήματα γραμμής Κιάτο - Ρίο, Τιθορέα - Δομοκός, Θεσσαλονίκη  – Ειδομένη, Παλαιοφάρσαλος - Καλαμπάκα και Λάρισα - Βόλος
- Υ/Ε 2: Απαιτούμενες συνδέσεις, αναβαθμίσεις και μετατοπίσεις δικτύων ΟΚΩ
- Υ/Ε 3: Έγκριση τεχνικής λύσης εξοπλισμού ERTMS με τις ΤΠΔ από τον Οργανισμό Σιδηροδρόμων της Ε.Ε. (ERA)
- Υ/Ε 4: Λειτουργικά έξοδα της ΕΕΣΥΠ (μη επιλέξιμες δαπάνες)
Έχουν εκδοθεί οι Αποφάσεις έγκρισης Περιβαλλοντικών Όρων. 
Η διάρκεια της σύμβασης κατασκευής του έργου εκτιμάται σε 3 έτη. 
Σύμφωνα με την με αρ.πρωτ. 1566/16.06.2025 Απόφαση της Κυβερνητικής Επιτροπής Συμβάσεων Στρατηγικής Σημασίας, το έργο έχει ενταχθεί στο Αναπτυξιακό Πρόγραμμα Συμβάσεων Στρατηγικής Σημασίας του Ν.4799/2021 και έχει περιέλθει στις αρμοδιότητες της Ελληνικής Εταιρείας Συμμετοχών και Περιουσίας (ΕΕΣΥΠ) ΑΕ για τη διενέργεια του διαγωνισμού του Υ/Ε 1 στο όνομα και για λογαριασμό του Δικαιούχου (ΣΕ ΜΑΕ).
Στις 03.02.2026 υπεγράφη η προβλεπόμενη στο άρθρο 5β του Ν. 3986/2011 Σύμβαση μεταξύ του ΥΠΥΜΕ, της ΣΙΔΗΡΟΔΡΟΜΟΙ ΕΛΛΑΔΟΣ ΜΑΕ και της ΕΕΣΥΠ ΑΕ και στις 10.07.2026 υπογράφηκε η 1η τροποποίηση αυτής.
Εκτιμώμενο χρονοδιάγραμμα για την υπογραφή της Σύμβασης:
▪ Προκήρυξη Διαγωνισμού: </t>
    </r>
    <r>
      <rPr>
        <sz val="9"/>
        <color rgb="FFFF0000"/>
        <rFont val="Arial"/>
      </rPr>
      <t>Δεκέμβριος</t>
    </r>
    <r>
      <rPr>
        <sz val="9"/>
        <rFont val="Arial"/>
      </rPr>
      <t xml:space="preserve"> 2026
▪ Υπογραφή της Σύμβασης: </t>
    </r>
    <r>
      <rPr>
        <sz val="9"/>
        <color rgb="FFFF0000"/>
        <rFont val="Arial"/>
      </rPr>
      <t>3ο</t>
    </r>
    <r>
      <rPr>
        <sz val="9"/>
        <rFont val="Arial"/>
      </rPr>
      <t xml:space="preserve"> τρίμηνο 2027
Στις 10.07.2026 υποβλήθηκε από τον δικαιούχο "ΣΙΔΗΡΟΔΡΟΜΟΙ ΕΛΛΑΔΟΣ Μ.Α.Ε." αίτηση χρηματοδότησης για την Πράξη με κωδικό MIS 6054603 και συνολική δημόσια δαπάνη 57.463.025,47 ευρώ και συγχρηματοδοτούμενη δημόσια δαπάνη 45.974.884,50 €. 
</t>
    </r>
    <r>
      <rPr>
        <sz val="9"/>
        <color rgb="FFFF0000"/>
        <rFont val="Arial"/>
      </rPr>
      <t>Στις 29.09.2026 η Δ.Α. υπέγραψε σύμβαση παροχής υπηρεσιών συμβούλου με τη διαδικασία της απευθείας ανάθεσης με τίτλο «Σύμβουλος Υποβοήθησης της ΕΥΔ/ΜΕΤΑΦΟΡΕΣ στον έλεγχο Μελέτης Σκοπιμότητας &amp; Τευχών Δημοπράτησης του έργου “Προμήθεια συστήματος ραδιοκάλυψης GSM-R, με συναφείς υπηρεσίες και φορητό εξοπλισμό για τα τμήματα Κιάτο – Ρίο, Τιθορέα – Δομοκός, Θεσσαλονίκη – Ειδομένη, Παλαιοφάρσαλος – Καλαμπάκα και Λάρισα – Βόλος”», συνολικού ποσού 29.150,00€ (πλέον Φ.Π.Α.) και διάρκειας δύο μηνών από την ημερομηνία υπογραφής της σύμβασης.</t>
    </r>
  </si>
  <si>
    <r>
      <rPr>
        <sz val="9"/>
        <color rgb="FFFF0000"/>
        <rFont val="Arial"/>
      </rPr>
      <t>-  Ένταξη στο Πρόγραμμα "ΜΕΤΑΦΟΡΕΣ" 2021-2027</t>
    </r>
  </si>
  <si>
    <t>ΘΕΣΣΑΛΟΝΙΚΗ - ΕΙΔΟΜΕΝΗ</t>
  </si>
  <si>
    <t>ΕΓΚΑΤΑΣΤΑΣΗ ΣΥΣΤΗΜΑΤΟΣ ΣΗΜΑΤΟΔΟΤΗΣΗΣ ΚΑΙ ETCS – LEVEL 1 ΣΤΗ ΜΟΝΗ ΣΙΔΗΡΟΔΡΟΜΙΚΗ ΓΡΑΜΜΗ ΘΕΣΣΑΛΟΝΙΚΗ – ΕΙΔΟΜΕΝΗ (ΜΕΣΩ ΤΗΣ ΝΕΑΣ  ΠΑΡΑΛΛΑΓΗΣ ΣΤΟ ΤΜΗΜΑ ΠΟΛΥΚΑΣΤΡΟ – ΕΙΔΟΜΕΝΗ) ΚΑΙ ΑΝΤΙΚΑΤΑΣΤΑΣΗ 37 ΑΛΛΑΓΩΝ ΤΡΟΧΙΑΣ ΓΙΑ ΤΙΣ ΑΝΑΓΚΕΣ ΤΗΣ ΣΗΜΑΤΟΔΟΤΗΣΗΣ- Β' ΦΑΣΗ</t>
  </si>
  <si>
    <t>Πρόγραμμα «ΜΕΤΑΦΟΡΕΣ» 2021-2027 (Phasing)</t>
  </si>
  <si>
    <t>38.577.292,81 € (Συγχρηματοδοτούμενη Δημόσια Δαπάνη)</t>
  </si>
  <si>
    <t>40.973.034,12 € 
(χωρίς Φ.Π.Α.)</t>
  </si>
  <si>
    <t>ΚΟΙΝΟΠΡΑΞΙΑ ΑΒΑΞ ΑΕ - ALSTOM Transport SA</t>
  </si>
  <si>
    <t>11.03.2022</t>
  </si>
  <si>
    <t>15.05.2026 (Ημερομηνία περαίωσης εργασιών)</t>
  </si>
  <si>
    <t xml:space="preserve">Η πράξη αφορά στην υλοποίηση της Β΄ Φάσης του έργου με αντικείμενο την εγκατάσταση του συστήματος σηματοδότησης και ETCS – Level 1 στη μονή σιδηροδρομική γραμμή Θεσσαλονίκη – Ειδομένη (μέσω της νέας παραλλαγής στο τμήμα Πολύκαστρο – Ειδομένη), σε μήκος περίπου 70,5 χλμ και αντικατάσταση 37 αλλαγών τροχιάς για τις ανάγκες της σηματοδότησης. 
</t>
  </si>
  <si>
    <r>
      <rPr>
        <sz val="9"/>
        <rFont val="Arial"/>
      </rPr>
      <t xml:space="preserve">Ολοκληρώθηκαν οι εργασίες.
</t>
    </r>
    <r>
      <rPr>
        <sz val="9"/>
        <color rgb="FFFF0000"/>
        <rFont val="Arial"/>
      </rPr>
      <t>Έως τέλη Οκτωβρίου αναμένεται η υποβολή από τον ανάδοχο του φακέλου Διαλειτουργικότητας, ο οποίος πρόκειται να</t>
    </r>
    <r>
      <rPr>
        <sz val="9"/>
        <rFont val="Arial"/>
      </rPr>
      <t xml:space="preserve"> υποβληθεί στη ΡΑΣ για έγκριση θέσης σε </t>
    </r>
    <r>
      <rPr>
        <sz val="9"/>
        <color rgb="FFFF0000"/>
        <rFont val="Arial"/>
      </rPr>
      <t>λειτουργία.</t>
    </r>
    <r>
      <rPr>
        <sz val="9"/>
        <rFont val="Arial"/>
      </rPr>
      <t xml:space="preserve">
Εκκρεμεί η διασύνδεση με τη Βόρεια Μακεδονία.</t>
    </r>
  </si>
  <si>
    <r>
      <rPr>
        <sz val="9"/>
        <rFont val="Arial"/>
      </rPr>
      <t xml:space="preserve">Η πράξη αφορά στην υλοποίηση της Β΄ Φάσης του έργου με αντικείμενο την εγκατάσταση του συστήματος σηματοδότησης και ETCS – Level 1 στη μονή σιδηροδρομική γραμμή Θεσσαλονίκη – Ειδομένη (μέσω της νέας παραλλαγής στο τμήμα Πολύκαστρο – Ειδομένη) και αντικατάσταση 37 αλλαγών τροχιάς για τις ανάγκες της σηματοδότησης. 
Η αρχή του έργου οριoθετείται στον Σ.Σ. ΤΧ1 (είσοδος από ΤΧ2) και το τέλος, στο σταθμό Ειδομένης (Χ.Θ. 77+521 - πέρας Σ.Σ. Ειδομένης). Στο τμήμα Πολύκαστρο – Ειδομένη ακολουθεί τη νέα παραλλαγή της γραμμής. Περιλαμβάνονται περιορισμένες παρεμβάσεις και στην παλαιά γραμμή οι οποίες καλύπτονται από εθνικούς πόρους.
Το συνολικό μήκος του άξονα της υφιστάμενης μονής σιδηροδρομικής γραμμής Θεσσαλονίκη (ΤΧ1) – Ειδομένης, στo οποίο εγκαταστάθηκε το σύστημα σηματοδότησης, τηλεδιοίκησης και ETCS, είναι περίπου 70,5 χιλιόμετρα.
Η Πράξη περιλαμβάνει το υποέργο που αφορά στην εργολαβία κατασκευής (Υ/Ε 1), καθώς και υποέργα για:
- μετατοπίσεις δικτύων ΟΚΩ και συνδέσεις (Υ/Ε2),
- έγκριση τεχνικής λύσης εξοπλισμού ERTMS από τον Οργανισμό Σιδηροδρόμων της Ευρωπαϊκής Ένωσης (Υ/Ε 4) και 
- αρχαιολογικές εργασίες (ΕΦΑ Περιφέρειας Θεσσαλονίκης) (Υ/Ε 5)
Phasing από το ΕΠ ΥΜΕΠΕΡΑΑ 2014-2020 (Συγχρηματοδοτούμενη Δημόσια Δαπάνη Α΄ Φάσης της πράξης 6.773.104,53 €, σύμφωνα με την από 10.02.2026 απόφαση ολοκλήρωσης της Α΄ Φάσης της πράξης) 
Σύμβαση: "ΕΓΚΑΤΑΣΤΑΣΗ ΣΥΓΧΡΟΝΟΥ ΣΥΣΤΗΜΑΤΟΣ ΣΗΜΑΤΟΔΟΤΗΣΗΣ ΚΑΙ ETCS LEVEL 1 ΣΤΟ ΤΜΗΜΑ ΘΕΣΣΑΛΟΝΙΚΗ – ΕΙΔΟΜΕΝΗ ΚΑΙ ΑΝΤΙΚΑΤΑΣΤΑΣΗ 37 ΑΛΛΑΓΩΝ ΤΡΟΧΙΑΣ ΓΙΑ ΤΙΣ ΑΝΑΓΚΕΣ ΤΗΣ ΣΗΜΑΤΟΔΟΤΗΣΗΣ" (Α.Σ.: 713/2022)
Ανάδοχος: ΚΟΙΝΟΠΡΑΞΙΑ ΑΒΑΞ ΑΕ - ALSTOM Transport SA
Ημερομηνία υπογραφής σύμβασης: 11/3/2022
Προθεσμία περαίωσης εργασιών: 15/05/2026, σύμφωνα με την τελευταία εγκεκριμένη παράταση (Απόφαση Δ.Σ.: 07.05.2026)
Ποσό σύμβασης: 40.973.034,12 € (χωρίς Φ.Π.Α.)
Με την από 4.12.2025 απόφαση του ΔΣ της ΣΕΜΑΕ, εγκρίθηκε ο 2ος Α.Π.Ε. του έργου σε ισοζύγιο με το αρχικό συμβατικό αντικείμενο     
Πρόοδος υλοποίησης: </t>
    </r>
    <r>
      <rPr>
        <sz val="9"/>
        <color rgb="FFFF0000"/>
        <rFont val="Arial"/>
      </rPr>
      <t>~99,7% (26ος λογαριασμός/17.08.2026)</t>
    </r>
    <r>
      <rPr>
        <sz val="9"/>
        <rFont val="Arial"/>
      </rPr>
      <t xml:space="preserve">   
Ολοκληρώθηκε το φυσικό αντικείμενο της σύμβασης.
</t>
    </r>
    <r>
      <rPr>
        <sz val="9"/>
        <color rgb="FFFF0000"/>
        <rFont val="Arial"/>
      </rPr>
      <t>Έως τέλη Οτωβρίου αναμένεται η υποβολή από τον ανάδοχο του φακέλου Διαλειτουργικότητας (για όλα τα υποσυστήματα: υποδομή, ενέργεια, ελέγχου - χειρισμού και σηματοδότησης), ο οποίος πρόκειται να</t>
    </r>
    <r>
      <rPr>
        <sz val="9"/>
        <rFont val="Arial"/>
      </rPr>
      <t xml:space="preserve"> υποβληθεί στη ΡΑΣ για έγκριση θέσης σε </t>
    </r>
    <r>
      <rPr>
        <sz val="9"/>
        <color rgb="FFFF0000"/>
        <rFont val="Arial"/>
      </rPr>
      <t>λειτουργία.</t>
    </r>
    <r>
      <rPr>
        <sz val="9"/>
        <rFont val="Arial"/>
      </rPr>
      <t xml:space="preserve">
Εκκρεμεί η διασύνδεση με τη Βόρεια Μακεδονία.</t>
    </r>
  </si>
  <si>
    <r>
      <rPr>
        <sz val="9"/>
        <color rgb="FFFF0000"/>
        <rFont val="Arial"/>
      </rPr>
      <t>- Ολοκλήρωση φακέλου Διαλειτουργικότητας</t>
    </r>
    <r>
      <rPr>
        <sz val="9"/>
        <rFont val="Arial"/>
      </rPr>
      <t xml:space="preserve"> που θα υποβληθεί στη ΡΑΣ για έγκριση θέσης σε </t>
    </r>
    <r>
      <rPr>
        <sz val="9"/>
        <color rgb="FFFF0000"/>
        <rFont val="Arial"/>
      </rPr>
      <t>λειτουργία.
-</t>
    </r>
    <r>
      <rPr>
        <sz val="9"/>
        <rFont val="Arial"/>
      </rPr>
      <t xml:space="preserve"> Διασύνδεση με τη Βόρεια Μακεδονία.</t>
    </r>
  </si>
  <si>
    <t>22.12.2025</t>
  </si>
  <si>
    <t>ΠΑΛΑΙΟΦΑΡΣΑΛΟΣ - ΚΑΛΑΜΠΑΚΑ</t>
  </si>
  <si>
    <t>ΕΓΚΑΤΑΣΤΑΣΗ ΗΛΕΚΤΡΟΚΙΝΗΣΗΣ, ΣΗΜΑΤΟΔΟΤΗΣΗΣ – ΤΗΛΕΔΙΟΙΚΗΣΗΣ ΚΑΙ ETCS L1 ΣΤΗΝ ΥΦΙΣΤΑΜΕΝΗ ΜΟΝΗ ΣΙΔΗΡΟΔΡΟΜΙΚΗ ΓΡΑΜΜΗ ΠΑΛΑΙΟΦΑΡΣΑΛΟΣ – ΚΑΛΑΜΠΑΚΑ - Β' ΦΑΣΗ</t>
  </si>
  <si>
    <t>60.870.881,70€ (Συγχρηματοδοτούμενη Δημόσια Δαπάνη)</t>
  </si>
  <si>
    <t>52.201.427,17€ 
(χωρίς ΦΠΑ)</t>
  </si>
  <si>
    <t>ΑΒΑΞ Α.Ε.</t>
  </si>
  <si>
    <t>24.11.2022</t>
  </si>
  <si>
    <t>24.06.2028 (Εγκεκριμένη παράταση)</t>
  </si>
  <si>
    <t>Η πράξη αφορά στην υλοποίηση της Β΄ Φάσης του έργου με αντικείμενο την εγκατάσταση συστημάτων σηματοδότησης, ETCS και ηλεκτροκίνησης στην υφιστάμενη μονή γραμμή Παλαιοφαρσάλου - Καλαμπάκας (μήκους 80,4 χλμ), καθώς και την κατασκευή παρακαμπτηρίου γραμμής (μήκους 650μ) στο Σ.Σ. Σοφάδων.</t>
  </si>
  <si>
    <t>Α.Σ.: 2514/2022</t>
  </si>
  <si>
    <t>DANIEL &amp; ELIAS</t>
  </si>
  <si>
    <r>
      <rPr>
        <sz val="9"/>
        <rFont val="Arial"/>
      </rPr>
      <t xml:space="preserve">Η πράξη περιλαμβάνει την υλοποίηση του συνολικού έργου (Α΄ και Β΄ Φάση) που αφορά στην εγκατάσταση συστημάτων σηματοδότησης, ETCS και ηλεκτροκίνησης της υφιστάμενης μονής γραμμής Παλαιοφαρσάλου - Καλαμπάκας. Πιο συγκεκριμένα, με την ολοκλήρωση του συνολικού έργου (Α΄και Β΄ Φάσεις) θα παραδοθούν:
- 80,4χλμ μονής σιδηροδρομικής γραμμής στα οποία θα έχει εγκατασταθεί σύστημα Ηλεκτροκίνησης, σύστημα Σηματοδότησης και σύστημα ETCS-Level 1.
- Ο Υποσταθμός Έλξης (1 τεμ) για τις ανάγκες της Ηλεκτροκίνησης
- Η παρακαμπτήριος (650μ) στον ΣΣ Σοφάδων
- Η αποβάθρα μήκους 150μ.
- 39 νέα ΑΣΙΔ.
Επιπλέον στην πράξη περιλαμβάνονται:
▪ εργασίες μετατοπίσεων/υπερυψώσεων δικτύων ΟΚΩ
▪ η έγκριση συμμόρφωσης τεχνικής λύσης εξοπλισμού ERTMS με τις ΤΔΠ από τον  Οργανισμό Σιδηροδρόμων της Ε.Ε. (ERA)
▪ η εκτέλεση των αρχαιολογικών ερευνών και εργασιών στην περιοχή του έργου σε περίπτωση ανεύρεσης αρχαιολογικών ευρημάτων
▪ ο έλεγχος και η επίβλεψη των μελετών και των εργασιών κατασκευής της γραμμής μεταφοράς, της σύνδεσης του υποσταθμού στο σύστημα καθώς και η προμήθεια και εγκατάσταση του εξοπλισμού (μετρητική διάταξη και τηλεπικοινωνιακός εξοπλισμός) τόσο για το τμήμα στην αυλή του ΟΣΕ (εργασίες από ΑΣ 2514) όσο και τις λοιπές εργασίες σύνδεσης του υποσταθμού με τη γραμμή μεταφοράς, που αναλαμβάνει ο ΑΔΜΗΕ σύμφωνα με τη σύμβαση ΑΔΜΗΕ – ΟΣΕ. Οι παραπάνω δαπάνες χαρακτηρίζονται ως μη επιλέξιμες για συγχρηματοδότηση αλλά περιλήφθηκαν στην πράξη καθώς είναι αναγκαίες για τη λειτουργική ολοκλήρωση του έργου.
Phasing από το ΕΠ ΥΜΕΠΕΡΑΑ 2014-2020 (Συγχρηματοδοτούμενη Δημόσια Δαπάνη της Α΄ Φάσης της πράξης 3.481.431,63 €, σύμφωνα με την από 06.02.2026 απόφαση ολοκλήρωσης της Α΄ Φάσης της πράξης)        
Αντικείμενο: Το έργο περιλαμβάνει την εγκατάσταση συστημάτων σηματοδότησης, ETCS και ηλεκτροκίνησης στην υφιστάμενη μονή γραμμή Παλαιοφαρσάλου – Καλαμπάκας.
Σύμβαση: "ΚΑΤΑΣΚΕΥΗ ΗΛΕΚΤΡΟΚΙΝΗΣΗΣ, ΣΗΜΑΤΟΔΟΤΗΣΗΣ - ΤΗΛΕΔΙΟΙΚΗΣΗΣ ΚΑΙ ETCS L1 ΤΗΣ ΥΦΙΣΤΑΜΕΝΗΣ ΜΟΝΗΣ ΣΙΔΗΡΟΔΡΟΜΙΚΗΣ ΓΡΑΜΜΗΣ ΠΑΛΑΙΟΦΑΡΣΑΛΟΣ - ΚΑΛΑΜΠΑΚΑ ΚΑΙ ΚΑΤΑΣΚΕΥΗ ΝΕΑΣ ΠΑΡΑΚΑΜΠΤΗΡΙΟΥ ΓΡΑΜΜΗΣ ΣΤΟ Σ.Σ. ΣΟΦΑΔΩΝ" (Α.Σ.: 2514/22)
Ανάδοχος: ΑΒΑΞ Α.Ε.
Ημερομηνία υπογραφής σύμβασης: 24/11/2022. 
Προθεσμία περαίωσης εργασιών: </t>
    </r>
    <r>
      <rPr>
        <sz val="9"/>
        <color rgb="FFFF0000"/>
        <rFont val="Arial"/>
      </rPr>
      <t>24.06.2028 (σύμφωνα με τη με αριθμ. 4024/06.08.2026 Απόφαση του Δ.Σ. της ΣΕ ΜΑΕ, έπειτα από συμπληρωματικό αίτημα του Αναδόχου. Ο Ανάδοχος έχει υποβάλει ένσταση  κατά της Απόφασης).</t>
    </r>
    <r>
      <rPr>
        <sz val="9"/>
        <rFont val="Arial"/>
      </rPr>
      <t xml:space="preserve">
Ποσό σύμβασης:   52.201.427,17€ (χωρίς ΦΠΑ)
Πρόοδος υλοποίησης: </t>
    </r>
    <r>
      <rPr>
        <sz val="9"/>
        <color rgb="FFFF0000"/>
        <rFont val="Arial"/>
      </rPr>
      <t>~28,57% (19ος λογαριασμός/10.09.2026)</t>
    </r>
    <r>
      <rPr>
        <sz val="9"/>
        <rFont val="Arial"/>
      </rPr>
      <t xml:space="preserve">
Στις 28/4/2025 υπογράφηκε η σύμβαση (από ΕΥΔΕ/ΚΣΣΥ-ΥΠΥΜΕ) του έργου της αποκατάστασης της μονής σιδηροδρομικής γραμμής Παλαιοφαρσάλου – Καλαμπάκας, σε εντοπισμένα τμήματα της γραμμής, μετά τις θεομηνίες "Daniel" και "Elias", με ανάδοχο τον Ο.Φ. "ΑΒΑΞ Α.Ε.", συνολικό ποσό 55.295.940 € (με ΦΠΑ) και διάρκεια 15 μηνών. Ποσοστό οικονομικής απορρόφησης εργολαβικής σύμβασης: </t>
    </r>
    <r>
      <rPr>
        <sz val="9"/>
        <color rgb="FFFF0000"/>
        <rFont val="Arial"/>
      </rPr>
      <t>~99,8% (13ος λογαριασμός/15.10.2026). Στις 24-8-2026 εκδόθηκε η Βεβαίωση περαίωσης εργασιών, σύμφωνα με την οποία οι εργασίες στο έργο ολοκληρώθηκαν εμπρόθεσμα στις 28.07.2026.</t>
    </r>
    <r>
      <rPr>
        <sz val="9"/>
        <rFont val="Arial"/>
      </rPr>
      <t xml:space="preserve">    
Σημαντική καθυστέρηση στην εξέλιξη των μελετών / εργασιών αρμοδιότητας του ΔΕΔΔΗΕ για τη μετατόπιση των εναέριων γραμμών μέσης τάσης στα σημεία εμπλοκής (96) με την σιδηροδρομική γραμμή (εργασίες ΟΚΩ). Ο ΔΕΔΔΗΕ </t>
    </r>
    <r>
      <rPr>
        <sz val="9"/>
        <color rgb="FFFF0000"/>
        <rFont val="Arial"/>
      </rPr>
      <t>με μεγάλη καθυστέρηση επικαιροποίησε την εμπλοκή των δικτύων του και τα σημεία εμπλοκής είναι 103. Έχει καταβληθεί η απαιτούμενη δαπάνη για 62 σημεία εμπλοκής και έχουν ολοκληρωθεί οι μετατοπίσεις για 32 σημεία. Για τα υπόλοιπα 41 σημεία εμπλοκής η ΣΕ ΜΑΕ θα καταβάλει άμεσα την απαιτούμενη δαπάνη, η οποία ανέρχεται στο ποσό 3,6 εκ ευρώ.</t>
    </r>
    <r>
      <rPr>
        <sz val="9"/>
        <rFont val="Arial"/>
      </rPr>
      <t xml:space="preserve"> 
Τον Απρίλιο 2025 υπογράφηκε η σύμβαση μεταξύ ΑΔΜΗΕ- ΟΣΕ  για την έγκριση των μελετών και την επίβλεψη των εργασιών σύνδεσης στο σύστημα μεταφοράς ηλεκτρικής ενέργειας του Υ/Σ Έλξης Τρικάλων στη θέση "Βασιλική".
Με την από 30.12.2025 απόφαση του ΔΣ της ΣΕΜΑΕ εγκρίθηκε το Πρωτογενές Αίτημα για τη διενέργεια διαδικασίας διαπραγμάτευσης χωρίς προηγούμενη δημοσίευση προκήρυξης, για τη σύναψη σύμβασης έργου με αντικείμενο τα Έργα Επέκτασης του Συστήματος για τη Σύνδεση που περιλαμβάνουν:
▪ τα Έργα κατασκευής νέας διασυνδετήριας Γραμμής Μεταφοράς 150 kV (Γ.Μ.) και
▪ τα Έργα κατασκευής του Τμήματος Σύνδεσης του Yποσταθμού του ΟΣΕ με το Σύστημα μεταφοράς Ηλεκτρικής Ενέργειας της ΑΔΜΗΕ
Προϋπολογισμός: 5.200.000,00 € πλέον Φ.Π.Α. 24% 
Έχουν υποβληθεί στον ΑΔΜΗΕ για έγκριση οι σχετικές μελέτες που έχει εκπονήσει ο </t>
    </r>
    <r>
      <rPr>
        <sz val="9"/>
        <color rgb="FFFF0000"/>
        <rFont val="Arial"/>
      </rPr>
      <t>Ανάδοχος και δεν έχει ολοκληρωθεί η διαδικασία, καθώς έχουν αποσταλεί παρατηρήσεις από τον ΑΔΜΗΕ</t>
    </r>
  </si>
  <si>
    <t>19.06.2026</t>
  </si>
  <si>
    <t>ΛΑΡΙΣΑ - ΒΟΛΟΣ</t>
  </si>
  <si>
    <t xml:space="preserve">ΗΛΕΚΤΡΟΚΙΝΗΣΗ, ΣΗΜΑΤΟΔΟΤΗΣΗ - ΤΗΛΕΔΙΟΙΚΗΣΗ, ΤΗΛΕΠΙΚΟΙΝΩΝΙΕΣ ΚΑΙ ETCS L1 ΣΤΗΝ ΥΦΙΣΤΑΜΕΝΗ ΜΟΝΗ ΣΙΔΗΡΟΔΡΟΜΙΚΗ ΓΡΑΜΜΗ ΛΑΡΙΣΑ - ΒΟΛΟΣ ΜΕ ΑΝΑΒΑΘΜΙΣΗ ΤΗΣ ΣΙΔΗΡΟΔΡΟΜΙΚΗΣ ΓΡΑΜΜΗΣ ΣΤΟ ΤΜΗΜΑ ΣΣ ΛΑΤΟΜΕΙΟΥ - ΒΙΠΕ - ΣΣ ΒΟΛΟΥ </t>
  </si>
  <si>
    <t>Συνολικό (Comprehensive)</t>
  </si>
  <si>
    <t>Πρόγραμμα «ΜΕΤΑΦΟΡΕΣ» 2021-2027 (Μεταφερόμενο)</t>
  </si>
  <si>
    <t xml:space="preserve">Δεν έχει υποβληθεί αίτημα χρηματοδότησης </t>
  </si>
  <si>
    <t>42.391.239,69 €
(χωρίς Φ.Π.Α.)</t>
  </si>
  <si>
    <t>INTRAKAT</t>
  </si>
  <si>
    <t>04.05.2022</t>
  </si>
  <si>
    <t>17.05.2028 (Εγκεκριμένη παράταση)</t>
  </si>
  <si>
    <t>Η πράξη αφορά στην εγκατάσταση συστημάτων Σηματοδότησης-Τηλεδιοίκησης, ETCS L1 και Ηλεκτροκίνησης τύπου trolley στη μονή σιδηροδρομική γραμμή Λάρισα – Βόλος, μήκους 61,5χλμ περίπου, καθώς και στην αναβάθμιση της υφιστάμενης μονής μετρικής γραμμής σε κανονικού εύρους στο τμήμα Σ.Σ. Λατομείου - ΒΙ.ΠΕ. - Σ.Σ.Βόλου.</t>
  </si>
  <si>
    <t>Α.Σ.: 736/2022</t>
  </si>
  <si>
    <r>
      <rPr>
        <sz val="9"/>
        <rFont val="Arial"/>
      </rPr>
      <t xml:space="preserve">Μεταφερόμενο από το ΕΠ ΥΜΕΠΕΡΑΑ 2014-2020
Το έργο αφορά στην εγκατάσταση συστημάτων Σηματοδότησης-Τηλεδιοίκησης, ETCS L1 και Ηλεκτροκίνησης τύπου trolley στη μονή σιδηροδρομική γραμμή Λάρισα – Βόλος, μήκους 61,5χλμ περίπου, καθώς και στην αναβάθμιση της υφιστάμενης μονής μετρικής γραμμής σε κανονικού εύρους στο τμήμα Σ.Σ. Λατομείου - ΒΙ.ΠΕ. - Σ.Σ.Βόλου.
Σύμβαση: "ΚΑΤΑΣΚΕΥΗ ΗΛΕΚΤΡΟΚΙΝΗΣΗΣ, ΣΗΜΑΤΟΔΟΤΗΣΗΣ - ΤΗΛΕΔΙΟΙΚΗΣΗΣ, ΤΗΛΕΠΙΚΟΙΝΩΝΙΩΝ ΚΑΙ ΣΥΣΤΗΜΑΤΟΣ ETCS L1 ΣΤΗΝ ΥΦΙΣΤΑΜΕΝΗ ΜΟΝΗ ΣΙΔΗΡΟΔΡΟΜΙΚΗ ΓΡΑΜΜΗ ΛΑΡΙΣΑ - ΒΟΛΟΣ ΜΕ ΑΝΑΒΑΘΜΙΣΗ ΤΗΣ ΣΙΔ/ΚΗΣ ΓΡΑΜΜΗΣ ΣΤΟ ΤΜΗΜΑ Σ.Σ. ΛΑΤΟΜΕΙΟΥ - ΒΙΠΕ ΒΟΛΟΣ" (Α.Σ.: 736/22)
Ανάδοχος: INTRAKAT
Ημερομηνία υπογραφής σύμβασης: 4/5/2022
Προθεσμία περαίωσης εργασιών: 17/05/2028, σύμφωνα με την τελευταία εγκεκριμένη παράταση (Απόφαση Δ.Σ.: 23.04.2026)
Ποσό σύμβασης:  42.391.239,69€ (χωρίς Φ.Π.Α.)
Πρόοδος Υλοποίησης: 3,82% (12ος λογαριασμός/08.06.2026)
Λόγω της κακοκαιρίας "DANIEL" έχουν σημειωθεί σοβαρές ζημιές τόσο στην υφιστάμενη γραμμή όσο και στις εν εξελίξει εργασίες της εν λόγω σύμβασης με αποτέλεσμα έως και σήμερα να μην πραγματοποιούνται εργασίες. Στις 24/10/2023 ο Ανάδοχος υπέβαλε Ειδική Δήλωση Διακοπής Εργασιών, σε συνέχεια της οποίας, απομάκρυνε τα περισσότερα στελέχη του και τα μηχανήματα έργου και δεν πραγματοποιεί εργασίες έως και σήμερα. Η Ειδική Δήλωση Διακοπής Εργασιών απορρίφθηκε και εν συνεχεία ο ανάδοχος υπέβαλε ένσταση, η οποία επίσης απορρίφθηκε από τον Υπουργό Υ.ΜΕ., με το σκεπτικό ότι οι εργασίες μπορούν να συνεχιστούν στη νέα υπό κατασκευή γραμμή. 
Στις 28/4/2025 υπογράφηκε η σύμβαση (από ΕΥΔΕ/ΚΣΣΥ-ΥΠΥΜΕ)  του έργου της αποκατάστασης της μονής σιδηροδρομικής γραμμής Λάρισας – Βόλου μετά τις θεομηνίες "Daniel" και "Elias", με ανάδοχο τον Ο.Φ. "ΆΚΤΩΡ ΑΤΕ",  συνολικό ποσό 174.393.600 € (με ΦΠΑ) και διάρκεια 15 μηνών.
</t>
    </r>
    <r>
      <rPr>
        <sz val="9"/>
        <color rgb="FFFF0000"/>
        <rFont val="Arial"/>
      </rPr>
      <t>Σύμφωνα με την από 20.08.2026 τροποποίηση της εκτελεστικής Απόφασης έγκρισης του Σχεδίου Ανάκαμψης και Ανθεκτικότητας για την Ελλάδα εντάχθηκαν στο Ορόσημο 350 (Μέτρο 16999) και οι εργασίες αποκατάστασης μετά τις θεομηνίες "Daniel" και "Elias" της μονής σ/δ γραμμής στο τμήμα Λάρισα - Κυψέλη του άξονα Λάρισα Βόλος, συνολικού ποσού 45.110.499,00 €. Οι εργασίες στο εν λόγω τμήμα έχουν ολοκληρωθεί και με το από 28.08.2026 έγγραφο ο Προϊστάμενος της Δ.Υ. βεβαίωσε την εμπρόθεσμη ολοκλήρωσή τους στις 28/4/2026. Με το από 13.07.2026 έγγραφό του ο ανάδοχος υπέβαλε εμπρόθεσμα αίτημα παράτασης 14 μηνών (έως 28.09.2027) για τις υπολειπόμενες εργασίες. Η Δ/νουσα Υπηρεσία εισηγήθηκε την έγκριση παράτασης της σύμβασης για 12 μήνες, (λόγω καιρικών συνθηκών, αποκλεισμού πρόσβασης απο αγρότες, εύρεση αρχαιολογικών ευρυμάτων), έως 28/7/2027 και αναμένεται η έκδοση της σχετικής υπουργικής απόφασης.</t>
    </r>
    <r>
      <rPr>
        <sz val="9"/>
        <rFont val="Arial"/>
      </rPr>
      <t xml:space="preserve">  Ποσοστό οικονομικής απορρόφησης </t>
    </r>
    <r>
      <rPr>
        <sz val="9"/>
        <color rgb="FFFF0000"/>
        <rFont val="Arial"/>
      </rPr>
      <t>σύμβασης αποκατάστασης: ~43,1% (10ος λογαριασμός/27.08.2026).   
Στην παρούσα φάση, στο πλαίσιο της σύμβασης Α.Σ. 736/22 εκπονούνται και επικαιροποιούνται οι μελέτες Σηματοδότησης–Τηλεδιοίκησης, Τηλεπικοινωνιών, ETCS L1 και Ηλεκτροκίνησης, ώστε να ενσωματωθούν οι νέες μελέτες χάραξης και επιδομής, όπως εγκρίθηκαν στο πλαίσιο της σύμβασης αποκατάστασης του ΥΠΥΜΕ.
Εύρεση λύσης για την κατασκευή της γραμμής σύνδεσης του Υποσταθμού (Ριζόμυλου) που θα τροφοδοτήσει την ηλεκτροκίνηση, καθώς ο ΑΔΜΗΕ δεν αναλαμβάνει την εκτέλεση των εργασιών όπως γινόταν μέχρι τώρα λόγω φόρτου εργασίας.</t>
    </r>
    <r>
      <rPr>
        <sz val="9"/>
        <rFont val="Arial"/>
      </rPr>
      <t xml:space="preserve">
Στις 30.1.2026 ανακλήθηκε η απόφαση ένταξης της Πράξης στο ΕΠ ΥΜΕΠΕΡΑΑ 2014-2020 διότι κατά τη διαδικασία παρακολούθησης και περιοδικής αξιολόγησης της πορείας υλοποίησης της Πράξης διαπιστώθηκαν μεγάλες αποκλίσεις του χρονικού προγραμματισμού της εκτέλεσης, εξαιτίας, κατά κύριο λόγο, των βλαβών που προκάλεσαν στη σιδηροδρομική υποδομή οι κακοκαιρίες Daniel και Elias τον 9o-2023, η αποκατάσταση των οποίων αποτελεί προϋπόθεση για την υλοποίηση του βασικού υποέργου κατασκευής.
Στις 28.04.2026 εκδόθηκε η ΥΑ ένταξης του έργου στο ΤΠΑ ΥΠΥΜΕ 2026-2030 με συνολική επιλέξιμη δαπάνη 51.414.090,32€.</t>
    </r>
  </si>
  <si>
    <t>Ανάθεση των εργασιών  διασύνδεσης του Υ/Σ Έλξης από την "Σιδηρόδρομοι Ελλάδος Μ.Α.Ε.", λόγω μη δυνατότητας ανάληψης της υποχρέωσης από τον ΑΔΜΗΕ.</t>
  </si>
  <si>
    <t>ΚΙΑΤΟ - ΡΟΔΟΔΑΦΝΗ</t>
  </si>
  <si>
    <t>ΗΛΕΚΤΡΟΚΙΝΗΣΗ ΝΕΑΣ ΔΙΠΛΗΣ ΣΙΔΗΡΟΔΡΟΜΙΚΗΣ ΓΡΑΜΜΗΣ ΣΤΟ ΤΜΗΜΑ ΚΙΑΤΟ-ΡΟΔΟΔΑΦΝΗ – Β΄ΦΑΣΗ</t>
  </si>
  <si>
    <t>59.114.503,51 € (Συγχρηματοδοτούμενη Δημόσια Δαπάνη)</t>
  </si>
  <si>
    <t>55.366.115,92 €
(χωρίς Φ.Π.Α.)</t>
  </si>
  <si>
    <t>Κ/Ξ ΤΕΡΝΑ Α.Ε. - ΜΕΤΚΑ Α.Τ.Ε.</t>
  </si>
  <si>
    <t>06.07.2022</t>
  </si>
  <si>
    <t>28.12.2026</t>
  </si>
  <si>
    <t>Η πράξη αφορά στην υλοποίηση της Β΄ Φάσης του έργου με αντικείμενο την ηλεκτροκίνηση του τμήματος Κιάτο – Ροδοδάφνη της Νέας Διπλής Σιδηροδρομικής Γραμμής Υψηλών Ταχυτήτων (ΝΔΣΓΥΤ) του σιδηροδρομικού δικτύου Πειραιάς – Αθήνα – Κιάτο – Πάτρα</t>
  </si>
  <si>
    <r>
      <rPr>
        <sz val="9"/>
        <rFont val="Arial"/>
      </rPr>
      <t xml:space="preserve">Η πράξη αφορά στην ηλεκτροκίνηση του τμήματος ΚΙΑΤΟ – ΡΟΔΟΔΑΦΝΗ της Νέας Διπλής Σιδηροδρομικής Γραμμής Υψηλών Ταχυτήτων (ΝΔΣΓΥΤ) του σιδηροδρομικού δικτύου Πειραιάς – Αθήνα – Κιάτο – Πάτρα
Η πράξη αφορά στην Β' φάση του έργου και περιλαμβάνει τις κάτωθι εργασίες:
Υποέργο 1: Oι εργασίες και τα υλικά που θα πιστοποιηθούν μετά τον 11ο λογαριασμό και αντιστοιχούν στο 80,49% του οικονομικού αντικειμένου της σύμβασης κατασκευής
Υποέργο 2 &amp; Υποέργο 7: Το 100% του οικονομικού αντικειμένου των υπηρεσιών ΑΔΜΗΕ (έλεγχος μελετών, επίβλεψη, προμήθεια κλπ) των Υ/Σ στην περιοχή του Ξυλοκάστρου και του Αιγίου με το δίκτυο μεταφοράς ενέργειας
Υποέργο 3: Το οικονομικό αντικείμενο των απαιτούμενων απαλλοτριώσεων της Β’ Φάσης, το οποίο αφορά σε τυχόν επιπλέον δαπάνη αποζημίωσης μετά την αναμενόμενη Απόφαση Εφετείου για προσδιορισμό οριστικής τιμής μονάδος για την απαλλοτρίωση του υποσταθμού έλξης Αιγίου.
Υποέργο 4: Το οικονομικό αντικείμενο των απαιτούμενων μετατοπίσεων/ υπερυψώσεων /αναβαθμίσεων και νέων συνδέσεων δικτύων ΟΚΩ της Β’ Φάσης, ήτοι από 29/03/24 και μετά.
Υποέργο 5: Το 100% του φυσικού και οικονομικού αντικειμένου των Αρχαιολογικών εργασιών και ερευνών στην περιοχή της Κορινθίας
Υποέργο 6: Το 100% του φυσικού και οικονομικού αντικειμένου των Αρχαιολογικών εργασιών και ερευνών στην περιοχή της Αχαΐας
Οι εργασίες για την κατασκευή της εναέριας ΓΜ οι οποίες είναι απαραίτητες για την εξασφάλιση λειτουργικότητας της πράξης, καθώς και οι υπηρεσίες του ΑΔΜΗΕ για τις εργασίες αυτές, δεν περιλαμβάνονται στο φυσικό αντικείμενο των Υ/Ε 2 και 7. Οι εργασίες θα υλοποιηθούν με διαφορετική σύμβαση κατασκευής και το κόστος αυτών καθώς και των υπηρεσιών του ΑΔΜΗΕ θα καλυφθεί από τον τακτικό προϋπολογισμό του Δικαιούχου. Αντίστοιχα, το κόστος των απαλλοτριώσεων για τη ΓΜ, δεν περιλαμβάνεται στο φυσικό αντικείμενο του Υ/Ε 3 και θα καλυφθεί από τον Τακτικό Π/Υ του Δικαιούχου.
Phasing από το ΕΠ ΥΜΕΠΕΡΑΑ 2014-2020 (Συγχρηματοδοτούμενη Δημόσια Δαπάνη της Α΄ Φάσης της πράξης 13.644.744,82 €, σύμφωνα με την από 23.01.2026 απόφαση ολοκλήρωσης της Α΄ Φάσης της πράξης)        
Σύμβαση: "ΚΑΤΑΣΚΕΥΗ ΣΥΣΤΗΜΑΤΟΣ ΗΛΕΚΤΡΟΚΙΝΗΣΗΣ ΚΑΙ ΑΝΤΙΘΟΡΥΒΙΚΩΝ ΗΧΟΠΕΤΑΣΜΑΤΩΝ ΣΤΟ ΤΜΗΜΑ ΚΙΑΤΟ - ΡΟΔΟΔΑΦΝΗ" (Α.Σ.: 1511/22)
Ανάδοχος: Κ/Ξ ΤΕΡΝΑ Α.Ε. - ΜΕΤΚΑ Α.Τ.Ε.
Ημερομηνία υπογραφής σύμβασης: 6/7/2022
Προθεσμία περαίωσης εργασιών:  28/12/2026, σύμφωνα με την τελευταία εγκεκριμένη παράταση (Απόφαση </t>
    </r>
    <r>
      <rPr>
        <sz val="9"/>
        <color rgb="FFFF0000"/>
        <rFont val="Arial"/>
      </rPr>
      <t>Δ.Σ. με αριθμ. 6821/20.11.2025)</t>
    </r>
    <r>
      <rPr>
        <sz val="9"/>
        <rFont val="Arial"/>
      </rPr>
      <t xml:space="preserve">
Ποσό σύμβασης:  55.366.115,92€ (χωρίς Φ.Π.Α.)
Με την υπ' αριθμ. 4693/11.07.2025 Απόφαση του Δ.Σ. της ΕΡΓΟΣΕ εγκρίθηκε ο 1ος ΑΠΕ και το 1ο ΠΚΤΜΝΕ του έργου. 
Πρόοδος υλοποίησης: </t>
    </r>
    <r>
      <rPr>
        <sz val="9"/>
        <color rgb="FFFF0000"/>
        <rFont val="Arial"/>
      </rPr>
      <t>~69,10%</t>
    </r>
    <r>
      <rPr>
        <sz val="9"/>
        <rFont val="Arial"/>
      </rPr>
      <t xml:space="preserve"> (34ος λογαριασμός/06.08.2026)
Για τη σύνδεση των 2 νέων Υ/Σ έλξης Ξυλοκάστρου και Αιγίου στο Εθνικό Σύστημα Μεταφοράς Ηλεκτρικής Ενέργειας του ΑΔΜΗΕ (ΕΣΜΗΕ), υπεγράφησαν, μετά από μακρόχρονες συνεννοήσεις, στις 15/1/2025 δύο Διμερείς Συμβάσεις ΟΣΕ - ΑΔΜΗΕ.  
Ο ΑΔΜΗΕ στο πλαίσιο των εν λόγω συμβάσεων αναλαμβάνει τον έλεγχο και την επίβλεψη των μελετών και των εργασιών κατασκευής των διασυνδετήριων γραμμών μεταφοράς, τη σύνδεση των υποσταθμών στο σύστημα καθώς και την προμήθεια και την εγκατάσταση του εξοπλισμού (μετρητική διάταξη και τηλεπικοινωνιακό </t>
    </r>
    <r>
      <rPr>
        <sz val="9"/>
        <color rgb="FFFF0000"/>
        <rFont val="Arial"/>
      </rPr>
      <t>εξοπλισμό), ο οποίος απαιτείται για τη σύνδεση στο Σύστημα.</t>
    </r>
    <r>
      <rPr>
        <sz val="9"/>
        <rFont val="Arial"/>
      </rPr>
      <t xml:space="preserve">
Η "Σιδηρόδρομοι Ελλάδoς Μ.Α.Ε." αναλαμβάνει την κατασκευή των συνδετήριων Γραμμών Μεταφοράς για τη σύνδεση των Υ/Σ έλξης Ξυλοκάστρου και Αιγίου στο Σύστημα Μεταφοράς Ηλεκτρικής Ενέργειας του ΑΔΜΗΕ.
Με τις από 11.12.2025 αποφάσεις του ΔΣ της ΣΕΜΑΕ εγκρίθηκαν:  
α) Το Πρωτογενές Αίτημα για τη διενέργεια διαδικασίας διαπραγμάτευσης χωρίς προηγούμενη δημοσίευση προκήρυξης, για τη σύναψη σύμβασης έργου με αντικείμενο την «Κατασκευή των διασυνδετήριων Γραμμών Μεταφοράς (Γ.Μ.) 150 kV των Υ/Σ Έλξης Ξυλοκάστρου και Αιγίου», π/ϋ 4.990.000,000 € (πλέον ΦΠΑ)
β) Το Πρωτογενές Αίτημα για την κάλυψη των δαπανών των συνοδών έργων για την κατασκευή των διασυνδετήριων Γραμμών Μεταφοράς (Γ.Μ.) 150 kV των Υποσταθμών Έλξης Ξυλοκάστρου και Αιγίου, συνολικού ποσού 736.999,40 € πλέον Φ.Π.Α. 24% (136.999,40 € για απαλλοτριώσεις και 600.000 € για υπηρεσίες ελέγχου και επίβλεψης του ΑΔΜΗΕ)
Στις 10.06.2026 εκδόθηκε η Απόφαση </t>
    </r>
    <r>
      <rPr>
        <sz val="9"/>
        <color rgb="FFFF0000"/>
        <rFont val="Arial"/>
      </rPr>
      <t>Ανάληψης Υποχρέωσης, ποσού 4.990.000,00 € (χωρίς ΦΠΑ), σε βάρος των πιστώσεων του Τακτικού Προϋπολογισμού</t>
    </r>
    <r>
      <rPr>
        <sz val="9"/>
        <rFont val="Arial"/>
      </rPr>
      <t xml:space="preserve"> εξόδων της Σ.Ε. Μ.Α.Ε. οικονομικού έτους </t>
    </r>
    <r>
      <rPr>
        <sz val="9"/>
        <color rgb="FFFF0000"/>
        <rFont val="Arial"/>
      </rPr>
      <t>2026,</t>
    </r>
    <r>
      <rPr>
        <sz val="9"/>
        <rFont val="Arial"/>
      </rPr>
      <t xml:space="preserve"> για την κατασκευή των διασυνδετήριων Γραμμών Μεταφοράς </t>
    </r>
    <r>
      <rPr>
        <sz val="9"/>
        <color rgb="FFFF0000"/>
        <rFont val="Arial"/>
      </rPr>
      <t>150 kV</t>
    </r>
    <r>
      <rPr>
        <sz val="9"/>
        <rFont val="Arial"/>
      </rPr>
      <t xml:space="preserve"> των Υ/Σ Έλξης Ξυλοκάστρου και Αιγίου. </t>
    </r>
    <r>
      <rPr>
        <sz val="9"/>
        <color rgb="FFFF0000"/>
        <rFont val="Arial"/>
      </rPr>
      <t>Με την από 23.09.2026 Απόφαση του Αναπληρωτή Υπουργού  ΥΠΟΜΕ εγκρίθηκε η ανάληψη πολυετούς υποχρέωσης για τα οικονομικά έτη 2027 και 2028, συνολικού ποσού 3.990.000,00 € (χωρίς ΦΠΑ), εκ των οποίων 2.000.000,00 € για το έτος 2027 και 1.990.000,00 € για το έτος 2028. Κατόπιν αυτής, εκδόθηκε η από 24.09.2026 Απόφαση Μερικής Ανάκλησης Ανάληψης Πολυετούς Υποχρέωσης, με την οποία η αρχική δέσμευση του οικονομικού έτους 2026 περιορίστηκε στο ποσό του 1.000.000,00 € (χωρίς ΦΠΑ), διατηρουμένου του συνολικού προϋπολογισμού των 4.990.000,00 € (χωρίς ΦΠΑ) για την τριετία 2026–2028.
Στο πλαίσιο της παρακολούθησης της πράξης, η Διαχειριστική Αρχή απέστειλε με το από 06.03.2026 έγγραφο Δελτίο Παρακολούθησης και Αξιολόγησης Προόδου Πράξης (ΔΠΑΠΠ), με το οποίο επισημάνθηκε ότι η μη άμεση δρομολόγηση της κατασκευής των διασυνδετήριων Γ.Μ. 150 kV Υ/Σ Ξυλοκάστρου &amp; Αιγίου και των συνοδών έργων (υπηρεσίες του ΑΔΜΕ για τις εργασίες αυτές και απαλλοτριώσεις) θα επιφέρει αναπόφευκτα σημαντικές και μη αναστρέψιμες καθυστερήσεις στην ολοκλήρωση και λειτουργική περάτωση του έργου και περιλήφθηκαν διορθωτικές ενέργειες λόγω αναγκαιότητας τακτικής παρακολούθησης των απαιτούμενων δράσεων για την ολοκλήρωση των Γ.Μ. 
Λόγω μη συμμόρφωσης του Δικαιούχου στις απαιτήσεις του ΔΠΑΠΠ, η Δ.Α. απέστειλε την από 26.05.2026 προειδοποιητική επιστολή, με την οποία, εντός προθεσμίας 30 ημερών εκλήθη η ΣΕ ΜΑΕ να συμμορφωθεί πλήρως με τις διορθωτικές ενέργειες, να υποβάλει τεκμηριωμένη ενημέρωση για την πρόοδό τους και να ορίσει επικαιροποιημένο σχέδιο δράσης με σαφές χρονοδιάγραμμα.   
Λόγω παρέλευσης της ανωτέρω προθεσμίας χωρίς να έχει πραγματοποιηθεί ουδεμία ενέργεια συμμόρφωσης, στις 07.10.2026 η Δ.Α. εξέδωσε απόφαση θέσης σε επιτήρηση της Πράξης. Στην εν λόγω Απόφαση συστήνεται στο Δικαιούχο η ανάληψη συγκεκριμένων διορθωτικών ενεργειών και πιο συγκεκριμένα η αποστολή στη Δ.Α. στο τέλος κάθε ημερολογιακού μήνα (με πρώτη ενημέρωση έως 31.10.2026) έγγραφης αναφοράς προόδου, η οποία θα περιλαμβάνει συγκεκριμένα στοιχεία σχετικά με τη χρηματοδότηση, την επίσπευση και υλοποίηση των εργασιών κατασκευής των διασυνδετήριων Γραμμών Μεταφοράς (Γ.Μ.) 150 kV για τους Υποσταθμούς Έλξης Ξυλοκάστρου και Αιγίου, καθώς και των συνοδών έργων. Μέχρι την ολοκλήρωση των εν λόγω ενεργειών η ΕΥΔ/ΜΕΤΑΦΟΡΕΣ δεν πρόκειται να εγκρίνει χρηματοδότηση της πράξης εκτός από τις χρηματοδοτήσεις που είναι αναγκαίες για την υλοποίηση των παραπάνω ενεργειών. Στην περίπτωση μη έγκαιρης ολοκλήρωσης των παραπάνω ενεργειών, η Διαχειριστική Αρχή δύναται να ενεργήσει σύμφωνα με τα οριζόμενα στο Σύστημα Διαχείρισης και Ελέγχου ΕΣΠΑ 2021-2027 και να ανακαλέσει την απόφαση ένταξης της Πράξης στο Πρόγραμμα "ΜΕΤΑΦΟΡΕΣ" 2021-2027.</t>
    </r>
  </si>
  <si>
    <r>
      <rPr>
        <sz val="9"/>
        <color rgb="FFFF0000"/>
        <rFont val="Arial"/>
      </rPr>
      <t>Άμεση υλοποίηση των διορθωτικών ενεργειών που αναφέρονται στην Απόφαση θέσης σε επιτήρησης της Πράξης που εξέδωσε η Δ.Α. και αφορούν στην κατασκευή</t>
    </r>
    <r>
      <rPr>
        <sz val="9"/>
        <rFont val="Arial"/>
      </rPr>
      <t xml:space="preserve"> των διασυνδετήριων Γραμμών Μεταφοράς των Υ/Σ Έλξης </t>
    </r>
    <r>
      <rPr>
        <sz val="9"/>
        <color rgb="FFFF0000"/>
        <rFont val="Arial"/>
      </rPr>
      <t>Ξυλοκάστρου και Αιγίου</t>
    </r>
  </si>
  <si>
    <t>ΡΟΔΟΔΑΦΝΗ - ΡΙΟ</t>
  </si>
  <si>
    <t>ΟΛΟΚΛΗΡΩΣΗ ΤΗΣ ΝΕΑΣ ΔΙΠΛΗΣ ΣΙΔΗΡΟΔΡΟΜΙΚΗΣ ΓΡΑΜΜΗΣ ΣΤΟ ΤΜΗΜΑ ΡΟΔΟΔΑΦΝΗ ΕΩΣ ΡΙΟ – Β΄ΦΑΣΗ</t>
  </si>
  <si>
    <t>129.533.055,57 €
(χωρίς Φ.Π.Α.)</t>
  </si>
  <si>
    <t>Κ/Ξ ΤΕΡΝΑ Α.Ε. – ΜΕΤΚΑ Α.Τ.Ε.</t>
  </si>
  <si>
    <t>22.11.2022</t>
  </si>
  <si>
    <t>01.12.2026 (Εγκεκριμένη παράταση)</t>
  </si>
  <si>
    <t xml:space="preserve">Η πράξη αφορά στην ολοκλήρωση του τμήματος από την είσοδο του ΣΣ Ροδοδάφνης (Χ.Θ. 193+950) έως την περιοχή μετά το cover &amp; cut του Ρίου (Χ.Θ. 222+750), μήκους 28,8 χλμ της νέας σιδηροδρομικής γραμμής Κιάτο – Πάτρα. Οι εργασίες αφορούν στην επιδομή, την ηλεκτροκίνηση, την σηματοδότηση / ETCS καθώς και τους σταθμούς και στάσεις του εν λόγω τμήματος. </t>
  </si>
  <si>
    <r>
      <rPr>
        <sz val="9"/>
        <rFont val="Arial"/>
      </rPr>
      <t xml:space="preserve">Στο φυσικό αντικείμενο του έργου περιλαμβάνονται εργασίες για την ολοκλήρωση του τμήματος από την είσοδο του ΣΣ Ροδοδάφνης (Χ.Θ. 193+950) έως την περιοχή μετά το cover &amp; cut του Ρίου (Χ.Θ. 222+750), μήκους 28,8 χλμ, της νέας σιδηροδρομικής γραμμής Κιάτο – Πάτρα. Οι εργασίες αφορούν την επιδομή, την ηλεκτροκίνηση, την σηματοδότηση / ETCS καθώς και τους σταθμούς και στάσεις του τμήματος. Οι εργασίες αυτές προγραμματιζόταν να εκτελεστούν επί ήδη κατασκευασμένης υποδομής στο πλαίσιο προηγούμενων εργολαβιών, πλην μικρού τμήματος στην περιοχή της στάσης Αγ. Βασιλείου που θα κατασκευαστεί στο πλαίσιο του έργου και του τμήματος Ψαθόπυργου - Ρίου, μήκους ~7χλμ, όπου η υποδομή έχει μείνει ημιτελής λόγω διάλυσης </t>
    </r>
    <r>
      <rPr>
        <sz val="9"/>
        <color rgb="FFFF0000"/>
        <rFont val="Arial"/>
      </rPr>
      <t>τον Σεπτέμβριο 2023</t>
    </r>
    <r>
      <rPr>
        <sz val="9"/>
        <rFont val="Arial"/>
      </rPr>
      <t xml:space="preserve"> της σύμβασης με την οποία υλοποιείτο (Α.Σ. </t>
    </r>
    <r>
      <rPr>
        <sz val="9"/>
        <color rgb="FFFF0000"/>
        <rFont val="Arial"/>
      </rPr>
      <t>716 με χρηματοδότηση από το CEF 2014-2020) .</t>
    </r>
    <r>
      <rPr>
        <sz val="9"/>
        <rFont val="Arial"/>
      </rPr>
      <t xml:space="preserve">
Phasing από το ΕΠ ΥΜΕΠΕΡΑΑ 2014-2020 (Συγχρηματοδοτούμενη Δημόσια Δαπάνη της Α΄ Φάσης της πράξης 11.416.093,51 €, σύμφωνα με την από 10.02.2026 απόφαση ολοκλήρωσης της Α΄ Φάσης της πράξης)
Σύμβαση: "ΚΑΤΑΣΚΕΥΗ ΣΙΔΗΡΟΔΡΟΜΙΚΩΝ ΣΤΑΘΜΩΝ ΚΑΙ ΣΤΑΣΕΩΝ (ΚΤΙΡΙΑ, ΑΠΟΒΑΘΡΕΣ, ΣΤΕΓΑΣΤΡΑ ΚΑΙ ΠΕΡΙΒΑΛΛΩΝ ΧΩΡΟΣ), ΕΠΙΔΟΜΗΣ, ΗΛΕΚΤΡΟΚΙΝΗΣΗΣ, ΣΗΜΑΤΟΔΟΤΗΣΗΣ – ΤΗΛΕΔΙΟΙΚΗΣΗΣ, ETCS, ΤΗΛΕΠΙΚΟΙΝΩΝΙΩΝ ΚΑΙ Η/Μ ΕΓΚΑΤΑΣΤΑΣΕΩΝ ΣΗΡΑΓΓΑΣ ΠΑΝΑΓΟΠΟΥΛΑΣ ΓΙΑ ΤΗ Ν.Σ.Γ. ΚΙΑΤΟ – ΠΑΤΡΑ ΣΤΟ ΤΜΗΜΑ ΡΟΔΟΔΑΦΝΗ – ΡΙΟ»" (Α.Σ.: 1510/2022)
Ανάδοχος:  Κ/Ξ ΤΕΡΝΑ Α.Ε. – ΜΕΤΚΑ Α.Τ.Ε.
Ημερομηνία υπογραφής σύμβασης:  22/11/2022
Προθεσμία περαίωσης εργασιών: 1/12/2026, σύμφωνα με την τελευταία εγκεκριμένη παράταση (Απόφαση ΔΣ 12.2.2026)
Ποσό σύμβασης: 129.533.055,57€ (χωρίς Φ.Π.Α.)
Με την από 16.07.2025 Απόφαση του Δ.Σ. της ΕΡΓΟΣΕ εγκρίθηκε ο αναμορφωμένος 1ος ΑΠΕ του έργου σε ισοζύγιο με την Αρχική Σύμβαση.
Πρόοδος υλοποίησης:  </t>
    </r>
    <r>
      <rPr>
        <sz val="9"/>
        <color rgb="FFFF0000"/>
        <rFont val="Arial"/>
      </rPr>
      <t>~52,65% (30ος λογαριασμός/10.08.2026)</t>
    </r>
    <r>
      <rPr>
        <sz val="9"/>
        <rFont val="Arial"/>
      </rPr>
      <t xml:space="preserve">
Δρομολογείται η αποκοπή των εργασιών του τμήματος Αραχωβίτικα - Ρίο (π/ΰ~ 20εκ.€) από τη σύμβαση 1510 και η επαναδημοπράτηση του συνολικού φυσικού αντικειμένου του εν λόγω τμήματος (υπολειπόμενες εργασίες υποδομής, επιδομή, Σ.Σ., ηλεκτροκίνηση, σηματοδότηση) ως ξεχωριστή σύμβαση. </t>
    </r>
    <r>
      <rPr>
        <sz val="9"/>
        <color rgb="FFFF0000"/>
        <rFont val="Arial"/>
      </rPr>
      <t>Οι εργασίες που θα αποκοπούν από τη σύμβαση 1510 θα χρηματοδοτηθούν από το Πρόγραμμα "ΜΕΤΑΦΟΡΕΣ" 2021-2027, ενώ όσον αφορά στις υπολειπόμενες εργασίες υποδομής (από τη διαλυθείσα σύμβαση Α.Σ. 716 που χρηματοδοτήθηκε από το CEF 2014-2020) έχει ενταχθεί σχετικό ενάριθμο στο ΑΠΔΕ 2026 και πιο συγκεκριμένα στη ΣΑΕ 6711 (Συνδέοντας την Ευρώπη (CEF) 2014-2020) με π/ϋ 62,91 εκ. €. Ωστόσο οι αρμόδιες Υπηρεσίες του ΥΠΕΘΟΟ έχουν ενημερώσει ότι πρόκειται να καταργηθεί η εν λόγω ΣΑΕ και συνεπώς θα πρέπει να βρεθεί λύση για την ένταξή τους σε νέα ΣΑΕ του ΑΠΔΕ προκειμένου να είναι δυνατή η δημοπράτηση της νέας εργολαβίας.</t>
    </r>
    <r>
      <rPr>
        <sz val="9"/>
        <rFont val="Arial"/>
      </rPr>
      <t xml:space="preserve">   
Η ΣΕΜΑΕ έχει υποβάλει </t>
    </r>
    <r>
      <rPr>
        <sz val="9"/>
        <color rgb="FFFF0000"/>
        <rFont val="Arial"/>
      </rPr>
      <t>για έλεγχο στη Δ.Α. τον 2ο</t>
    </r>
    <r>
      <rPr>
        <sz val="9"/>
        <rFont val="Arial"/>
      </rPr>
      <t xml:space="preserve"> ΑΠΕ που αφορά στην αποκοπή των εργασιών του τμήματος </t>
    </r>
    <r>
      <rPr>
        <sz val="9"/>
        <color rgb="FFFF0000"/>
        <rFont val="Arial"/>
      </rPr>
      <t>Αραχωβίτικα-Ρίο.</t>
    </r>
    <r>
      <rPr>
        <sz val="9"/>
        <rFont val="Arial"/>
      </rPr>
      <t xml:space="preserve"> Στις 27.04.2026 η Δ.Α. υπέγραψε σύμβαση παροχής υπηρεσιών συμβούλου με τη διαδικασία της απευθείας ανάθεσης με τίτλο «Σύμβουλος Τεχνικής Υποστήριξης στο πλαίσιο αξιολόγησης πρότασης μείωσης φυσικού και οικονομικού αντικειμένου της Α.Σ.1510 και ελέγχου σχεδίων τευχών δημοπράτησης νέας διαδικασίας ανάθεσης σύμβασης για την ολοκλήρωση της σιδηροδρομικής γραμμής στο τμήμα Αραχωβίτικα – Ρίο», συνολικού ποσού 28.652,00€ (πλέον Φ.Π.Α.) και διάρκειας έως 11.09.2026 (σύμφωνα με την από 21.07.2026 Απόφαση έγκρισης παράτασης). 
</t>
    </r>
    <r>
      <rPr>
        <sz val="9"/>
        <color rgb="FFFF0000"/>
        <rFont val="Arial"/>
      </rPr>
      <t>Στις 08.10.2026 εγκριθηκε</t>
    </r>
    <r>
      <rPr>
        <sz val="9"/>
        <rFont val="Arial"/>
      </rPr>
      <t xml:space="preserve"> από το Δ.Σ. της </t>
    </r>
    <r>
      <rPr>
        <sz val="9"/>
        <color rgb="FFFF0000"/>
        <rFont val="Arial"/>
      </rPr>
      <t>ΣΕ ΜΑΕ ο 2ος Α.Π.Ε. και προετοιμάζεται ο φάκελος για την αποστολή του στο Ελεγκτικό Συνέδριο για έλεγχο νομιμότητας.
Στη συνέχεια θα</t>
    </r>
    <r>
      <rPr>
        <sz val="9"/>
        <rFont val="Arial"/>
      </rPr>
      <t xml:space="preserve"> πρέπει να συνταχθούν τα τεύχη δημοπράτησης της νέας εργολαβίας, να προεγκριθούν από τη Διαχειριστική Αρχή και να προκηρυχθεί ο διαγωνισμός. Ο χρόνος υλοποίησης της νέας εργολαβίας θα οριστεί σε 14 μήνες.</t>
    </r>
  </si>
  <si>
    <t>ΣΣ ΚΡΥΟΝΕΡΙ</t>
  </si>
  <si>
    <t>ΚΑΤΑΣΚΕΥΗ ΣΙΔΗΡΟΔΡΟΜΙΚΗΣ ΣΤΑΣΗΣ ΣΤΟ ΚΡΥΟΝΕΡΙ ΑΤΤΙΚΗΣ</t>
  </si>
  <si>
    <t>5.804.254,88 € (χωρίς Φ.Π.Α.)</t>
  </si>
  <si>
    <t>15.12.2023</t>
  </si>
  <si>
    <t>12.10.2026 (Εγκεκριμένη παράταση)</t>
  </si>
  <si>
    <t>Η Πράξη αφορά στις εργασίες για την κατασκευή της νέας Σιδηροδρομικής Στάσης Κρυονερίου Αττικής, που αναπτύσσεται μεταξύ των Σιδηροδρομικών Σταθμών (Σ.Σ.) Δεκελείας και Αγίου Στεφάνου, από τη Χ.Θ. 30+075 έως τη Χ.Θ. 30+225 της Σιδηροδρομικής Γραμμής (Σ.Γ.) Πειραιά – Αθήνας – Θεσσαλονίκης – Ειδομένης.</t>
  </si>
  <si>
    <r>
      <rPr>
        <sz val="9"/>
        <rFont val="Arial"/>
      </rPr>
      <t xml:space="preserve">Η Πράξη αφορά στις εργασίες για την κατασκευή της νέας Σιδηροδρομικής Στάσης Κρυονερίου Αττικής, που αναπτύσσεται μεταξύ των Σιδηροδρομικών Σταθμών (Σ.Σ.) Δεκελείας και Αγίου Στεφάνου, από τη Χ.Θ. 30+075 έως τη Χ.Θ. 30+225 της Σιδηροδρομικής Γραμμής (Σ.Γ.) Πειραιά – Αθήνας – Θεσσαλονίκης – Ειδομένης.
Μεταφερόμενο από το ΕΠ ΥΜΕΠΕΡΑΑ 2014-2020  
Σύμβαση: "ΚΑΤΑΣΚΕΥΗ ΣΙΔΗΡΟΔΡΟΜΙΚΗΣ ΣΤΑΣΗΣ ΣΤΟ ΚΡΥΟΝΕΡΙ ΑΤΤΙΚΗΣ" (Α.Σ.: 2512/2023) 
Ανάδοχος: ΑΒΑΞ Α.Ε.
Ημερομηνία υπογραφής σύμβασης: 15/12/2023
Προθεσμία περαίωσης εργασιών: 12/10/2026, σύμφωνα με την τελευταία εγκεκριμένη παράταση (Απόφαση Δ.Σ.: 12.03.2026) 
Ποσό σύμβασης:  5.804.254,88€ (χωρίς ΦΠΑ)
Πρόοδος υλοποίησης:  </t>
    </r>
    <r>
      <rPr>
        <sz val="9"/>
        <color rgb="FFFF0000"/>
        <rFont val="Arial"/>
      </rPr>
      <t>~22,6 % (8ος λογαριασμός/01.09.2026)</t>
    </r>
    <r>
      <rPr>
        <sz val="9"/>
        <rFont val="Arial"/>
      </rPr>
      <t xml:space="preserve">
Τέλη Μαρτίου 2025 χορηγήθηκε από τον ΟΣΕ η άδεια μονοδρόμησης και ξεκίνησαν οι εργασίες στις 5/4/2025. Έχει γίνει η αποξήλωση της γραμμής καθόδου και έχουν ολοκληρωθεί οι εργασίες κατασκευής των πασσάλων αντιστήριξης της γραμμής ανόδου στο τμήμα του έργου που προβλέπεται να κατασκευαστεί η αποβάθρα της Σιδ.Στάσης (~150 μ.μ.).  Έχει ολοκληρωθεί το στέγαστρο της αποβάθρας και έχουν ολοκληρωθεί οι εργασίες ανακατασκευής του υποστρώματος της επιδομής σε όλο το μήκος.
Στις 30.1.2026 ανακλήθηκε η απόφαση ένταξης της Πράξης στο ΕΠ ΥΜΕΠΕΡΑΑ 2014-2020, διότι η εν λόγω πράξη εμπίπτει στην κατηγορία κατάστασης 6 «Εν δυνάμει μεταφερόμενη» και πρόκειται να εξετασθεί η μεταφορά, στο σύνολό της, στο Πρόγραμμα «Μεταφορές 2021-2027».    
</t>
    </r>
    <r>
      <rPr>
        <sz val="9"/>
        <color rgb="FFFF0000"/>
        <rFont val="Arial"/>
      </rPr>
      <t>Αναμένεται η υποβολή της ΑΚΟ στη ΣΕ ΜΑΕ μέχρι 16.10.2026. Θα ακολουθήσει η υποβολή, μέσω ΟΠΣ,</t>
    </r>
    <r>
      <rPr>
        <sz val="9"/>
        <rFont val="Arial"/>
      </rPr>
      <t xml:space="preserve"> αιτήματος χρηματοδότησης από το Πρόγραμμα "ΜΕΤΑΦΟΡΕΣ" 2021-2027</t>
    </r>
  </si>
  <si>
    <r>
      <rPr>
        <sz val="9"/>
        <color rgb="FFFF0000"/>
        <rFont val="Arial"/>
      </rPr>
      <t>- Υποβολή αιτήματος χρηματοδότησης από το Πρόγραμμα "ΜΕΤΑΦΟΡΕΣ" 2021-2027</t>
    </r>
  </si>
  <si>
    <t>CEF 2014-2020</t>
  </si>
  <si>
    <t>ΣΣΑ – ΤΡΕΙΣ ΓΕΦΥΡΕΣ</t>
  </si>
  <si>
    <t>ΚΑΤΑΣΚΕΥΗ ΤΕΤΡΑΠΛΟΥ ΣΙΔΗΡΟΔΡΟΜΙΚΟΥ ΔΙΑΔΡΟΜΟΥ ΣΤΟ ΤΜΗΜΑ ΕΞΟΔΟΣ Σ.Σ. ΑΘΗΝΩΝ–ΤΡΕΙΣ ΓΕΦΥΡΕΣ, ΜΕ ΥΠΟΓΕΙΟΠΟΙΗΣΗ ΣΤΗΝ ΠΕΡΙΟΧΗ ΣΕΠΟΛΙΩΝ</t>
  </si>
  <si>
    <t>ΣΙΔΗΡΟΔΡΟΜΟΙ ΕΛΛΑΔΑΣ Μ.Α.Ε.
(ΕΡΓΟΣΕ ΑΕ)</t>
  </si>
  <si>
    <t xml:space="preserve">57.667.104,04 € (Συγχρηματοδοτούμενη Δημόσια Δαπάνη)
(Ημερ. Έναρξης GA: 16.05.2017
Ημερ. Ολοκλ. GA: 31.12.2024)  
</t>
  </si>
  <si>
    <t>99.844.041,18 € (Αρχική Σύμβαση και δυο Σ.Σ.Ε.)</t>
  </si>
  <si>
    <t>Κ/Ξ ΙΝΤΡΑΚΑΤ - ΣΙΔΗΡΟΔΡΟΜΙΚΑ ΕΡΓΑ ΑΤΕ</t>
  </si>
  <si>
    <t>15.11.2018</t>
  </si>
  <si>
    <t>06.02.2028</t>
  </si>
  <si>
    <t xml:space="preserve">Η δράση αφορούσε στην κατασκευή τετραπλού σιδηροδρομικού διαδρόμου συνολικού μήκους 2,36χλμ, εκ των οποίων ~1,33χλμ είναι πλήρως υπογειοποιημένο. Ο ανατολικός διάδρομος θα εξυπηρετεί την κίνηση των προαστιακών συρμών, ενώ ο δυτικός την κίνηση των υπεραστικών συρμών. </t>
  </si>
  <si>
    <t>Σ.2507/2018</t>
  </si>
  <si>
    <t>Σ.2507-1/2021</t>
  </si>
  <si>
    <t>Σ.2507-2/2023</t>
  </si>
  <si>
    <t>2016-EL-TMC-0288-W
(κωδ. ΟΠΣ 5021452)</t>
  </si>
  <si>
    <r>
      <rPr>
        <sz val="9"/>
        <rFont val="Arial"/>
      </rPr>
      <t xml:space="preserve">Αντικείμενο: Κατασκευή τετραπλού σιδηροδρομικού διαδρόμου συνολικού μήκους 2,36χλμ, εκ των οποίων ~1,33χλμ είναι πλήρως υπογειοποιημένο. Ο ανατολικός διάδρομος θα εξυπηρετεί την κίνηση των προαστιακών συρμών, ενώ ο δυτικός την κίνηση των υπεραστικών συρμών. Το έργο είναι ιδιαίτερα απαιτητικό τεχνικά, καθώς  η σήραγγα  που ξεκινά από την οδό Σεπολίων και καταλήγει στην οδό Σιώκου με ενδιάμεση την οδό Αγίου Μελετίου, θα έχει μέγιστο βάθος 19μ κάτω από το έδαφος. Έχει προβλεφθεί ειδική αντιστήριξη στο τμήμα που συναντά τη γραμμή 2 του Μετρό στο τμήμα Σεπόλια – Αττική. Άνωθεν του τεχνικού υπογειοποίησης θα αποκατασταθεί η επικοινωνία 9 καθέτων οδών, που σήμερα διακόπτονται λόγω του επίγειου σιδ/κού διαδρόμου. Προβλέπεται διαμόρφωση του τοπίου με κάλυψη του τεχνικού με πράσινο και δημιουργία ελεύθερων χώρων αναψυχής.
Σύμβαση Σ.2507/2018: «ΚΑΤΑΣΚΕΥΗ ΤΕΤΡΑΠΛΟΥ ΣΙΔΗΡΟΔΡΟΜΙΚΟΥ ΔΙΑΔΡΟΜΟΥ ΣΤΟ ΤΜΗΜΑ ΕΞΟΔΟΣ Σ.Σ. ΑΘΗΝΩΝ (ΣΣΑ) – ΤΡΕΙΣ ΓΕΦΥΡΕΣ ΜΕ ΥΠΟΓΕΙΟΠΟΙΗΣΗ ΣΤΗΝ ΠΕΡΙΟΧΗ ΣΕΠΟΛΙΩΝ» 
Ανάδοχος:  ΚΟΙΝΟΠΡΑΞΙΑ ΙΝΤΡΑΚΑΤ - ΣΙΔΗΡΟΔΡΟΜΙΚΑ ΕΡΓΑ ΑΤΕ
Ημερομηνία υπογραφής σύμβασης: Σ.2507/2018: 15-11-2018, Σ.2507-1/2021: 4-11-2021, Σ.2507-2/2023: 31-10-2023   
Προθεσμία περαίωσης εργασιών: 6-2-2028, σύμφωνα με την τελευταία εγκεκριμένη παράταση (19.04.2025)
Ποσό σύμβασης:  Σ.2507/2018: 66.580.539,74€ , Σ.2507-1/2021: 23.866.833,73 €,  Σ.2507-2/2023: 9.396.667,71€  (ποσά χωρίς αναθεώρηση και ΦΠΑ)
Πρόοδος υλοποίησης: Σ.2507/2018:  </t>
    </r>
    <r>
      <rPr>
        <sz val="9"/>
        <color rgb="FFFF0000"/>
        <rFont val="Arial"/>
      </rPr>
      <t>~36,2% (60ος λογαριασμός/07.09.2026),</t>
    </r>
    <r>
      <rPr>
        <sz val="9"/>
        <rFont val="Arial"/>
      </rPr>
      <t xml:space="preserve"> Σ.2507-1/2021: 71,05%  (36ος λογαριασμός/23.07.2026), Σ.2507-2/2023: ~21,03% (7ος λογαριασμός/21.04.2026)
Σημαντικές καθυστερήσεις στην υλοποίηση του έργου λόγω αρχαιολογικών εργασιών που εκτελούνται με αυτεπιστασία, μετατόπισης πυκνού δικτύου ΟΚΩ από τους αρμόδιους φορείς (ΕΥΔΑΠ, ΔΕΔΔΗΕ και ΕΔΑ), καθώς και διασταύρωσης του διαδρόμου με τη σήραγγα του μετρό (υπεβλήθη από τον ανάδοχο για αξιολόγηση η μελέτη για την τεχνική λύση στην περιοχή διασταύρωσης του διαδρόμου με τη σήραγγα του μετρό).
Στις 14/11/2025 πραγματοποιήθηκε επιτόπου επίσκεψη από εκπρόσωπο της CINEA ενόψει της υποβολής της Τελικής Έκθεσης.
Στις 20.05.2026 διαβιβάστηκε στην ΕΥΣΕ η Τελική Έκθεση της Δράσης με όλα απαιτούμενα </t>
    </r>
    <r>
      <rPr>
        <sz val="9"/>
        <color rgb="FFFF0000"/>
        <rFont val="Arial"/>
      </rPr>
      <t>συνημμένα, η οποία εν συνεχεία την απέστειλε στη CINEA.
Στις 09.10.2026 απεστάλησαν από τη ΣΕ ΜΑΕ οι τελευταίες διευκρινήσεις που ζητήθηκαν από τη CINEA και στις 19.10.2026 γνωστοποιήθηκε από τη CINEA η ολοκλήρωση της αξιολόγησης με αποδοχή του φυσικού αντικειμένου που υλοποιήθηκε, καίτοι ημιτελές. Αναφορικά με τις δαπάνες θα πρέπει να επιστραφεί το ποσό των 9.443.490,67€.</t>
    </r>
  </si>
  <si>
    <t>CEF 2021-2027</t>
  </si>
  <si>
    <t>ΠΥΘΙΟ - ΟΡΜΕΝΙΟ</t>
  </si>
  <si>
    <t>ΑΝΑΒΑΘΜΙΣΗ ΥΦΙΣΤΑΜΕΝΗΣ ΜΟΝΗΣ ΣΙΔΗΡΟΔΡΟΜΙΚΗΣ ΓΡΑΜΜΗΣ ΣΤΟ ΤΜΗΜΑ ΠΥΘΙΟ-ΟΡΜΕΝΙΟ</t>
  </si>
  <si>
    <t>Extended Core (Εκτεταμένο Κεντρικό)</t>
  </si>
  <si>
    <t>ΣΙΔΗΡΟΔΡΟΜΟΙ ΕΛΛΑΔΑΣ Μ.Α.Ε.</t>
  </si>
  <si>
    <t xml:space="preserve">219.609.315,00€
(Επιλέξιμη Δημόσια Δαπάνη)
(Ημερ. Έναρξης GA: 30.01.2024 
Ημερ. Ολοκλ. GA: 29.11.2028)  </t>
  </si>
  <si>
    <t>~720.000.000 € (π/ϋ οριστικής λύσης Β.Ι Φάσης Ανταγωνιστικού διαλόγου για το σύνολο του έργου Αλεξανδρούπολη - Πύθιο - Ορμένιο)</t>
  </si>
  <si>
    <t xml:space="preserve">Η δράση αφορά στις εργασίες αναβάθμισης της υποδομής και επιδομής της μονής σιδηροδρομικής γραμμής στο τμήμα Πύθιο - Ορμένιο σε μήκος ~ 47 χλμ. 
</t>
  </si>
  <si>
    <t>Project ID:
101175617 — 23-EL-TC-SPYTHORM
(ΟΠΣ: 6034729)</t>
  </si>
  <si>
    <r>
      <rPr>
        <sz val="9"/>
        <color rgb="FFFF0000"/>
        <rFont val="Arial"/>
      </rPr>
      <t>Έκδοση απόφασης έγκρισης χρηματοδότησης από ΥΠΕΘΟΟ
Προέγκριση</t>
    </r>
    <r>
      <rPr>
        <sz val="9"/>
        <rFont val="Arial"/>
      </rPr>
      <t xml:space="preserve"> τευχών Β.ΙΙ σταδίου </t>
    </r>
    <r>
      <rPr>
        <sz val="9"/>
        <color rgb="FFFF0000"/>
        <rFont val="Arial"/>
      </rPr>
      <t>από Δ.Α.</t>
    </r>
    <r>
      <rPr>
        <sz val="9"/>
        <rFont val="Arial"/>
      </rPr>
      <t xml:space="preserve">
Έναρξη σταδίου Β.ΙΙ.</t>
    </r>
  </si>
  <si>
    <t>ΑΛΕΞΑΝΔΡΟΥΠΟΛΗ - ΠΥΘΙΟ</t>
  </si>
  <si>
    <t>ΑΝΑΒΑΘΜΙΣΗ ΥΦΙΣΤΑΜΕΝΗΣ ΜΟΝΗΣ ΣΙΔΗΡΟΔΡΟΜΙΚΗΣ ΓΡΑΜΜΗΣ ΣΤΟ ΤΜΗΜΑ ΑΛΕΞΑΝΔΡΟΥΠΟΛΗ-ΠΥΘΙΟ</t>
  </si>
  <si>
    <t xml:space="preserve">325.891.827 €
(Επιλέξιμη Δημόσια Δαπάνη)
(Ημερ. Έναρξης GA: 31.01.2025
Ημερ. Ολοκλ. GA: 29.11.2029)  </t>
  </si>
  <si>
    <t xml:space="preserve">Η δράση αφορά στις εργασίες αναβάθμισης της υποδομής και επιδομής της μονής σιδηροδρομικής γραμμής στο τμήμα Αλεξανδρούπολη - Πύθιο σε μήκος ~ 68 χλμ. 
</t>
  </si>
  <si>
    <t>Project ID:
101233049 — 24-EL-TC-ALPY
(ΟΠΣ: ….......)</t>
  </si>
  <si>
    <r>
      <rPr>
        <sz val="9"/>
        <rFont val="Arial"/>
      </rPr>
      <t xml:space="preserve">Ένταξη στο ΑΠΔΕ 2026-2030
</t>
    </r>
    <r>
      <rPr>
        <sz val="9"/>
        <color rgb="FFFF0000"/>
        <rFont val="Arial"/>
      </rPr>
      <t>Προέγκριση</t>
    </r>
    <r>
      <rPr>
        <sz val="9"/>
        <rFont val="Arial"/>
      </rPr>
      <t xml:space="preserve"> τευχών Β.ΙΙ σταδίου </t>
    </r>
    <r>
      <rPr>
        <sz val="9"/>
        <color rgb="FFFF0000"/>
        <rFont val="Arial"/>
      </rPr>
      <t>από τη Δ.Α.</t>
    </r>
    <r>
      <rPr>
        <sz val="9"/>
        <rFont val="Arial"/>
      </rPr>
      <t xml:space="preserve"> 
Έναρξη σταδίου Β.ΙΙ.</t>
    </r>
  </si>
  <si>
    <t>ΝΕΑ ΚΑΡΒΑΛΗ - ΤΟΞΟΤΕΣ</t>
  </si>
  <si>
    <t>ΚΑΤΑΣΚΕΥΗ ΝΕΑΣ ΜΟΝΗΣ ΣΙΔΗΡΟΔΡΟΜΙΚΗΣ ΓΡΑΜΜΗΣ, ΤΜΗΜΑ: ΝΕΑ ΚΑΡΒΑΛΗ - ΤΟΞΟΤΕΣ</t>
  </si>
  <si>
    <t xml:space="preserve">212.725.000 € (Επιλέξιμη Δημόσια Δαπάνη)
(Ημερ. Έναρξης GA: 03.12.2021
Ημερ. Ολοκλ. GA: 02.12.2026)  </t>
  </si>
  <si>
    <t>140.597.827,77 € (δεν έχει υπογραφεί η σύμβαση)</t>
  </si>
  <si>
    <t>ΤΕΡΝΑ Α.Ε.
(δεν έχει υπογραφεί η σύμβαση)</t>
  </si>
  <si>
    <t>3,5 έτη από την υπογραφή της σύμβασης</t>
  </si>
  <si>
    <t>H δράση αφορά στην κατασκευή της νέας μονής σιδηροδρομικής γραμμής (εργασίες υποδομής/επιδομής και σταθμών/στάσεων) στο τμήμα Νέα Καρβάλη - Τοξότες, μήκους ~31,7 χλμ. και στο τμήμα σύνδεσης Νέα Καρβάλη  - Εμπορευματικός Λιμένας Καβάλας, μήκους 5,3 χλμ..</t>
  </si>
  <si>
    <t>Project ID: 101079623
  21-EL-TC-KARTOXRAIL
(ΟΠΣ:
6010609)</t>
  </si>
  <si>
    <t>Σε διαδικασία αναθεσης</t>
  </si>
  <si>
    <r>
      <rPr>
        <sz val="9"/>
        <rFont val="Arial"/>
      </rPr>
      <t xml:space="preserve">Υπογραφή Grant Agreement: 13-10-2022.  Επιλέξιμη Δημόσια Δαπάνη Πράξης: 212.725.000,00 €. 
Το έργο περιλαμβάνει την κατασκευή της νέας μονής σιδηροδρομικής γραμμής (εργασίες υποδομής/επιδομής και σταθμών/στάσεων) στο τμήμα Νέα Καρβάλη - Τοξότες, μήκους ~31,7 χλμ. και στο τμήμα σύνδεσης Νέα Καρβάλη  - Εμπορευματικός Λιμένας Καβάλας, μήκους 5,3 χλμ., καθώς και τις απαραίτητες για την κατασκευή του έργου απαλλοτριώσεις και τις αναγκαίες μετατοπίσεις των δικτύων ΟΚΩ.
Στις 27-2-2024 εκδόθηκε η υπ' αριθμ. 4537 απόφαση Δ.Σ. ΕΡΓΟΣΕ με την οποία αφαιρέθηκε το φυσικό και οικονομικό αντικείμενο των έργων υποδομής, επιδομής και σταθμών / στάσεων του τμήματος Ν. Καρβάλη - Τοξότες και σύνδεσης με τον εμπορικό λιμένα Καβάλας, από το ευρύτερο έργο της κατασκευής νέας γραμμής Θεσσαλονίκης - Αμφίπολης - Ν. Καρβάλης - Τοξότες που βρίσκεται σε φάση δημοπράτησης με τη μέθοδο του Ανταγωνιστικού Διαλόγου, προκειμένου να δημοπρατηθεί με ανοικτό μειοδοτικό διαγωνισμό και να επιτευχθεί η βέλτιστη αξιοποίηση της εγκεκριμένης χρηματοδότησης για το συγκεκριμένο τμήμα, δεδομένου ότι δεν υπάρχει εξασφαλισμένη χρηματοδότηση για το υπόλοιπο τμήμα.
Με την από 27.01.2025 Απόφαση του Δ.Σ. της ΕΡΓΟΣΕ εγκρίθηκε η κατακύρωση του έργου στην «ΤΕΡΝΑ Α.Ε.» με μέση τεκμαρτή έκπτωση 27,63%, ήτοι συνολικό ποσό προσφοράς 140.597.827,77€. Η αποστολή φακέλου στο Ελεγκτικό Συνέδριο για έλεγχο νομιμότητας πραγματοποιήθηκε στις 12-3-2025. Διάρκεια κατασκευής 3,5 έτη.
 Έχουν εκδοθεί οι δικαστικές αποφάσεις για συντέλεση απαλλοτριώσεων με το άρθρο 7Α και εκκρεμεί η κατάθεση των αποζημιώσεων ώστε να αποκτηθεί πρόσβαση στις εκτάσεις, λόγω των ακόλουθων δικαστικών εμπλοκών.
Προέκυψε πρόβλημα με κατάθεση αιτήσεων ακύρωσης των αποφάσεων κήρυξης απαλλοτριώσεων σε τμήματα όμορα της ΒΦΛ. Εκδόθηκε Απόφαση του ΣτΕ επί αίτησης αναστολής εκτέλεσης των εν λόγω αποφάσεων, η οποία αποδέχτηκε μερικώς το αίτημα της ΒΦΛ και ζήτησε την εκπόνηση μελέτης επικινδυνότητας στη βιομηχανική περιοχή χωρίς να αναστέλει τη διαδικασία απαλλοτριώσεων. Στις 10-7-2025 υπεγράφη η σύμβαση εκπόνησης της εν λόγω μελέτης, η οποία ολοκληρώθηκε και γνωστοποιήθηκε τόσο στο ΣτΕ όσο και στο Ελεγκτικό Συνέδριο ώστε να επαναξιολογηθεί ο φάκελος ανάθεσης. Η ΒΦΛ προσέφυγε στο ΣτΕ και κατά της μελέτης επικινδυνότητας. Επίσης, ασκήθηκε προσφυγή στο ΣτΕ για την ανάκληση της ΑΕΠΟ του έργου, η οποία συζητήθηκε στις 19.05.2025.
Στις 19.08.2025 η ΔΙΠΑ/ΥΠΕΝ εξέδωσε απόφαση προσωρινής αναστολής ισχύος της ΑΕΠΟ προκειμένου να ολοκληρωθεί η διερεύνηση των ζητημάτων ασφάλειας και η ένταξη των κατάλληλων μέτρων που θα εξαλείφουν τους πιθανούς κινδύνους. Την 18.02.2026 εκδόθηκε από τη ΔΙΠΑ Απόφαση Ανάκλησης της προσωρινής αναστολής της ΑΕΠΟ του έργου όπως ίσχυε και τροποποίηση της ίδιας ΑΕΠΟ για (α) την ενσωμάτωση στον σχεδιασμό του έργου των διαφοροποιήσεων του Σταθμού Διαλογής που αφορούν σε μέτρα αντιμετώπισης κινδύνων, με τους αντίστοιχους περιβαλλοντικούς όρους και (β) την επικαιροποίηση του περιεχομένου της ΑΕΠΟ με βάση το νεότερο κανονιστικό πλαίσιο (αναθεώρηση Σχεδίων Διαχείρισης Λεκανών Απορροής Ποταμών / Κινδύνου Πλημμύρας, συμμόρφωση με το άρθρο 18 του Εθνικού Κλιματικού Νόμου [ν.4936/2022]) κ.ά.
</t>
    </r>
    <r>
      <rPr>
        <sz val="9"/>
        <color rgb="FFFF0000"/>
        <rFont val="Arial"/>
      </rPr>
      <t>Εκκρεμεί</t>
    </r>
    <r>
      <rPr>
        <sz val="9"/>
        <rFont val="Arial"/>
      </rPr>
      <t xml:space="preserve"> η απόσυρση της μιας εναπομείνασας προδικαστικής προσφυγής. Εκδόθηκε η υπ' αριθμ. 183/2026 Πράξη του Ε΄ Κλιμακίου του Ελεγκτικού Συνεδρίου, σύμφωνα με την οποία κωλύεται η υπογραφή της σύμβασης. Τον Μάιο κατατέθηκε Προσφυγή Ανάκλησης ενώπιον του αρμόδιου Τμήματος του Ελεγκτικού Συνεδρίου, η οποία επίσης </t>
    </r>
    <r>
      <rPr>
        <sz val="9"/>
        <color rgb="FFFF0000"/>
        <rFont val="Arial"/>
      </rPr>
      <t>απορρίφθηκε. Στις 07.10.2026 συζητήθηκε στην Ολομέλεια του ΕλΣυν η</t>
    </r>
    <r>
      <rPr>
        <sz val="9"/>
        <rFont val="Arial"/>
      </rPr>
      <t xml:space="preserve"> Προσφυγή Αναθεώρησης η οποία </t>
    </r>
    <r>
      <rPr>
        <sz val="9"/>
        <color rgb="FFFF0000"/>
        <rFont val="Arial"/>
      </rPr>
      <t>κατατέθηκε από τη ΣΕ ΜΑΕ και ζητήθηκαν συμπληρωματικά στοιχεία με προθεσμία υποβολής στις 23.10.2016.</t>
    </r>
    <r>
      <rPr>
        <sz val="9"/>
        <rFont val="Arial"/>
      </rPr>
      <t xml:space="preserve"> Για την υπογραφή της σύμβασης </t>
    </r>
    <r>
      <rPr>
        <sz val="9"/>
        <color rgb="FFFF0000"/>
        <rFont val="Arial"/>
      </rPr>
      <t>θα απαιτηθεί, σε συνέχεια της αποδοχής της Προσφυγής Αναθεώρησης από την Ολομέλεια του ΕλΣυν</t>
    </r>
    <r>
      <rPr>
        <sz val="9"/>
        <rFont val="Arial"/>
      </rPr>
      <t xml:space="preserve"> η προέγκριση συμβασιοποίησης από τη Διαχειριστική Αρχή, ενημέρωση της Βουλής και πρόσκληση στον ανάδοχο για προσκόμιση δικαιολογητικών και οψιγενών μεταβολών.
</t>
    </r>
    <r>
      <rPr>
        <sz val="9"/>
        <color rgb="FFFF0000"/>
        <rFont val="Arial"/>
      </rPr>
      <t>Με την υπ΄αριθμ. 52/29.01.2026 Απόφαση του ΥΠΕΘΟΟ το ενάριθμο εντάχθηκε στο Συγχρηματοδοτούμενο Σκέλος του ΑΠΔΕ  2026-2030 με την ειδική διάταξη ότι δεν δύναται να πραγματοποιηθεί τροποποίηση ή πληρωμή έως την εκπλήρωση των προβλεπόμενων στις εγκυκλίους οδηγιών για το ΑΠΔΕ 2025 και ΑΠΔΕ 2026. Για την εκπλήρωση της ανωτέρω ειδικής διάταξης στις</t>
    </r>
    <r>
      <rPr>
        <sz val="9"/>
        <rFont val="Arial"/>
      </rPr>
      <t xml:space="preserve"> 22-5-2026 διαβιβάστηκε στη ΣΕ ΜΑΕ αρμοδίως υπογεγραμμένο από το Υπουργείο Υποδομών και Μεταφορών το Τεχνικό Δελτίο Έργων (ΤΔΕ), όπως αυτό παράγεται από το eΠΔΕ και στις 28-5-2026 διαβιβάστηκε στην ΕΥΔ «ΜΕΤΑΦΟΡΕΣ» και στην  Ειδική Υπηρεσία Συντονισμού της Εφαρμογής (ΕΥΣΕ) για τις καθ΄ αρμοδιότητα ενέργειές τους για την ένταξη του έργου στη ΣΑΕ 079/7 του ΑΠΔΕ 2026, με συνολικό  π/ϋ 268.747.800,00 €. </t>
    </r>
    <r>
      <rPr>
        <sz val="9"/>
        <color rgb="FFFF0000"/>
        <rFont val="Arial"/>
      </rPr>
      <t>Δεν έχει εκδοθεί ακόμα η απόφαση έγκρισης χρηματοδότησης από το ΥΠΕΘΟΟ προκειμένου να αρθεί η ειδική διάταξη ένταξης στο ΑΠΔΕ 2026.</t>
    </r>
  </si>
  <si>
    <r>
      <rPr>
        <sz val="9"/>
        <rFont val="Arial"/>
      </rPr>
      <t xml:space="preserve">Εξαιτίας των δικαστικών εμπλοκών και των μεγάλων καθυστερήσεων για την υπογραφή της σύμβασης έχει τεθεί σε κίνδυνο η χρηματοδότηση του έργου. 
Στη συνάντηση που πραγματοποιήθηκε στη Θεσσαλονίκη στις 18.06.2026 τα στελέχη της CINEA δέχτηκαν να αναμένουν την έκδοση της Απόφασης του Ελεγκτικού Συνεδρίου και προγραμματίστηκε τηλεδιάσκεψη </t>
    </r>
    <r>
      <rPr>
        <sz val="9"/>
        <color rgb="FFFF0000"/>
        <rFont val="Arial"/>
      </rPr>
      <t>εντός του Οκτωβρίου (σε συνέχεια της αναβολής δικασίμου του ΕλΣυν)</t>
    </r>
    <r>
      <rPr>
        <sz val="9"/>
        <rFont val="Arial"/>
      </rPr>
      <t xml:space="preserve"> για τη λήψη αποφάσεων για τη χρηματοδότηση της δράσης.</t>
    </r>
  </si>
  <si>
    <t>ΜΟΥΡΙΕΣ - ΠΡΟΜΑΧΩΝΑΣ</t>
  </si>
  <si>
    <t>ΑΝΑΒΑΘΜΙΣΗ ΤΗΣ ΥΦΙΣΤΑΜΕΝΗΣ ΣΙΔΗΡΟΔΡΟΜΙΚΗΣ ΓΡΑΜΜΗΣ ΘΕΣΣΑΛΟΝΙΚΗ-ΠΡΟΜΑΧΩΝΑΣ (ΤΜΗΜΑ ΜΟΥΡΙΕΣ-ΠΡΟΜΑΧΩΝΑΣ) ΓΙΑ ΤΗΝ ΕΓΚΑΤΑΣΤΑΣΗ ΗΛΕΚΤΡΟΚΙΝΗΣΗΣ</t>
  </si>
  <si>
    <t xml:space="preserve">144.000.000 € (Επιλέξιμη Δημόσια Δαπάνη)
(Ημερ. Έναρξης GA: 01.03.2024
Ημερ. Ολοκλ. GA: 31.05.2028)  </t>
  </si>
  <si>
    <t>Εκτίμηση: τέλη Μαΐου 2027</t>
  </si>
  <si>
    <t>Η δράση αφορά στην αναβάθμιση της υφιστάμενης μονής  σιδηροδρομικής γραμμής Θεσσαλονίκης - Στρυμώνα - Προμαχώνα (στο τμήμα Μουριές έως Προμαχώνα, μήκους ~53 χλμ.) και στις μελέτες για τη 2η φάση του έργου, ώστε να μπορεί να εγκατασταθεί μελλοντικά το συστήμα ηλεκτροκίνησης σε ολόκληρη τη σιδηροδρομική γραμμή Θεσσαλονίκης – Προμαχώνα, μήκους ~142,4 km, με μέγιστη ταχύτητα 120 km/h</t>
  </si>
  <si>
    <r>
      <rPr>
        <sz val="9"/>
        <rFont val="Arial"/>
      </rPr>
      <t xml:space="preserve">Το έργο εντάχθηκε στο Αναπτυξιακό Πρόγραμμα Συμβάσεων Στρατηγικής Σημασίας του Ν.4799/2021 και έχει περιέλθει στις αρμοδιότητες της Ελληνικής Εταιρείας Συμμετοχών και Περιουσίας (ΕΕΣΥΠ) ΑΕ , η οποία μέσω της Μονάδας Συμβάσεων Στρατηγικής Σημασίας, σύμφωνα με τον Κανονισμό Αναθέσεων ΤΑΙΠΕΔ θα προβεί σε όλες τις απαραίτητες ενέργειες για την ανάθεση των απαραίτητων συμβάσεων, μελετών και παροχής υπηρεσιών για την ωρίμανση του έργου. 
 Έχει υπογραφεί η σχετική  Σύμβαση μεταξύ του ΥΠΥΜΕ, της ΣΕΜΑΕ και της ΕΕΣΥΠ ΑΕ.
</t>
    </r>
    <r>
      <rPr>
        <sz val="9"/>
        <color rgb="FFFF0000"/>
        <rFont val="Arial"/>
      </rPr>
      <t>Η ΕΕΣΥΠ ολοκλήρωσε τη σύνταξη των Τευχών Δημοπράτησης και τα έχει αποστείλει στη ΣΕ ΜΑΕ για έλεγχο και έγκριση, προκειμένου εν συνεχεία να αποσταλούν στη Δ.Α. για διατύπωση σύμφωνης γνώμης.</t>
    </r>
  </si>
  <si>
    <t>Project ID 101175710
23-EL-TC-
MURPRORAIL
(ΟΠΣ: 6028774)</t>
  </si>
  <si>
    <r>
      <rPr>
        <sz val="9"/>
        <rFont val="Arial"/>
      </rPr>
      <t xml:space="preserve">Υπογραφή Grant Agreement : 15-10-2024.  Επιλέξιμη Δημόσια Δαπάνη Πράξης: 144.000.000,00 €.       
Το έργο αφορά στην αναβάθμιση της υφιστάμενης μονής  Σ.Γ. Θεσσαλονίκης - Στρυμώνα - Προμαχώνα (στο τμήμα Μουριές έως Προμαχώνα, μήκους ~53 χλμ.) και στις μελέτες για τη 2η φάση του έργου, ώστε να μπορεί να εγκατασταθεί μελλοντικά το συστήμα ηλεκτροκίνησης σε ολόκληρη τη Σ.Γ. Θεσσαλονίκης – Προμαχώνα μήκους ~142,4 km, με μέγιστη ταχύτητα 120 km/h
Οι εργασίες αναβάθμισης περιλαμβάνουν:
• Υποδομή και επιδομή νέας μονής Σ.Γ., ~30,5 χλμ συνολικού μήκους, στο τμήμα Μουριές-Καστανούσα-Ν.Πετριτσίων
• Αναβάθμιση υποδομών και σιδηροδρομικών έργων συνολικού μήκους 8 χλμ της υφιστάμενης γραμμής μεταξύ Καστανούσας και Ν. Πετριτσίων και άλλων 14,5 χλμ. στο υποτμήμα Στρυμόνας – Προμαχώνας
• Απόκτηση γης
Η προσαρμογή του υφιστάμενου συστήματος σηματοδότησης σύμφωνα με τις κατασκευαστικές εργασίες δεν περιλαμβάνεται στην πράξη.
• Μελέτες για τη 2η φάση του  έργου, οι οποίες περιλαμβάνουν:
         -Ηλεκτροκίνηση Σ.Γ. Θεσσαλονίκης-Στρυμόνας-Προμαχώνας, συνολικού μήκους 142,4 χλμ.
         - Διακλάδωση παράκαμψης Σιδ/κου Σταθμού Στρυμώνα: νέος κλάδος μήκους 1,1 km που θα συνδέει απευθείας τη Θεσσαλονίκη με τον Προμαχώνα
         - Αναβάθμιση Σ.Γ. προς Αθήνα (ΤΧ1, Θεσσαλονίκη)
         - Αναβάθμιση 4 ισόπεδων διασταυρώσεων με υπερυψωμένες μεταξύ Θεσσαλονίκης και Κιλκίς
         - Αναβάθμιση του  Σιδ/κου Σταθμού Κιλκίς, ώστε να είναι διαλειτουργικός
         - Αντικατάσταση 5 υφιστάμενων μεταλλικών Σιδηροδρομικών Γεφυρών με νέες
Έχουν ολοκληρωθεί η Μελέτη Ανάλυσης Κινδύνου και η Έκθεση Εκτίμησης Ασφάλειας.       
Το έργο εντάχθηκε στο Αναπτυξιακό Πρόγραμμα Συμβάσεων Στρατηγικής Σημασίας του Ν.4799/2021 και έχει περιέλθει στις αρμοδιότητες της Ελληνικής Εταιρείας Συμμετοχών και Περιουσίας (ΕΕΣΥΠ) ΑΕ, η οποία μέσω της Μονάδας Συμβάσεων Στρατηγικής Σημασίας, σύμφωνα με τον Κανονισμό Αναθέσεων ΤΑΙΠΕΔ θα προβεί σε όλες τις απαραίτητες ενέργειες για την ανάθεση των απαραίτητων συμβάσεων, μελετών και παροχής υπηρεσιών για την ωρίμανση του έργου.  Έχει υπογραφεί η σχετική  Σύμβαση μεταξύ του ΥΠΥΜΕ, της ΣΕΜΑΕ και της ΕΕΣΥΠ ΑΕ. </t>
    </r>
    <r>
      <rPr>
        <sz val="9"/>
        <color rgb="FFFF0000"/>
        <rFont val="Arial"/>
      </rPr>
      <t>Η ΕΕΣΥΠ ολοκλήρωσε τη σύνταξη των Τευχών Δημοπράτησης και τα έχει αποστείλει στη ΣΕ ΜΑΕ για έλεγχο και έγκριση, προκειμένου εν συνεχεία να αποσταλούν στη Δ.Α. για διατύπωση σύμφωνης γνώμης. Έχουν αποσταλεί στη Δ/νση Δ25 του ΥΠΥΜΕ τα Κτηματολόγια για την κήρυξη των απαλλοτριώσεων.
Με την υπ΄αριθμ. 52/29.01.2026 Απόφαση του ΥΠΕΘΟΟ το ενάριθμο εντάχθηκε στο Συγχρηματοδοτούμενο Σκέλος του ΑΠΔΕ  2026-2030 με την ειδική διάταξη ότι δεν δύναται να πραγματοποιηθεί τροποποίηση ή πληρωμή έως την εκπλήρωση των προβλεπόμενων στις εγκυκλίους οδηγιών για το ΑΠΔΕ 2025 και ΑΠΔΕ 2026. Για την εκπλήρωση της ανωτέρω ειδικής διάταξης, στις</t>
    </r>
    <r>
      <rPr>
        <sz val="9"/>
        <rFont val="Arial"/>
      </rPr>
      <t xml:space="preserve"> 22-5-2026 διαβιβάστηκε στη ΣΕΜΑΕ αρμοδίως υπογεγραμμένο από το Υπουργείο Υποδομών και Μεταφορών το Τεχνικό Δελτίο Έργων (ΤΔΕ), όπως αυτό παράγεται από το eΠΔΕ και στις 28-5-2026 διαβιβάστηκε στην ΕΥΔ «ΜΕΤΑΦΟΡΕΣ» και στην Ειδική Υπηρεσία Συντονισμού της Εφαρμογής (ΕΥΣΕ) για τις καθ΄ αρμοδιότητα ενέργειές τους για την ένταξη του έργου στη ΣΑΕ 079/7 του ΑΠΔΕ 2026, με συνολικό  π/ϋ 202.658.320,00 €. </t>
    </r>
    <r>
      <rPr>
        <sz val="9"/>
        <color rgb="FFFF0000"/>
        <rFont val="Arial"/>
      </rPr>
      <t>Δεν έχει εκδοθεί ακόμα η απόφαση έγκρισης χρηματοδότησης από το ΥΠΕΘΟΟ προκειμένου να αρθεί η ειδική διάταξη ένταξης στο ΑΠΔΕ 2026.</t>
    </r>
    <r>
      <rPr>
        <sz val="9"/>
        <rFont val="Arial"/>
      </rPr>
      <t xml:space="preserve">
Η υπογραφή της σύμβασης εκτιμάται στα τέλη Μαΐου 2027.</t>
    </r>
  </si>
  <si>
    <r>
      <rPr>
        <sz val="9"/>
        <color rgb="FFFF0000"/>
        <rFont val="Arial"/>
      </rPr>
      <t>1.Έκδοση απόφασης έγκρισης χρηματοδότησης από ΥΠΕΘΟΟ
2. Έγκριση του τεχνικού δελτίου πράξης</t>
    </r>
    <r>
      <rPr>
        <sz val="9"/>
        <rFont val="Arial"/>
      </rPr>
      <t xml:space="preserve"> από Δ.Α.            
3.Υποβολή στη Δ.Α. των τευχών δημοπράτησης για προέγκριση 
4. Κήρυξη Απαλλοτριώσεων 
5. Δημοπράτηση έργου</t>
    </r>
  </si>
  <si>
    <t>ΣΚΑ - ΚΙΑΤΟ</t>
  </si>
  <si>
    <t>ΕΓΚΑΤΑΣΤΑΣΗ ΝΕΟΥ ΣΥΣΤΗΜΑΤΟΣ ΣΗΜΑΤΟΔΟΤΗΣΗΣ ΜΕ ΤΗΛΕΔΙΟΙΚΗΣΗ, ETCS L1 ΓΙΑ ΤΗΝ ΔΙΠΛΗ ΣΙΔΗΡΟΔΡΟΜΙΚΗ ΓΡΑΜΜΗ ΣΚΑ-ΚΙΑΤΟ</t>
  </si>
  <si>
    <t xml:space="preserve">27.979.200 € (Επιλέξιμη Δημόσια Δαπάνη)
(Ημερ. Έναρξης GA: 01.05.2024
Ημερ. Ολοκλ. GA: 30.04.2028)  </t>
  </si>
  <si>
    <t xml:space="preserve">Η δράση αφορά στην ανάπτυξη ενός νέου συστήματος διασύνδεσης με γραμμή βάσης ETCS L1 baseline 4 v1.1 και τηλεδιοίκηση κατά μήκος:
• της διπλής Σ.Γ. από Σιδηροδρομικό Κέντρο Αχαρνών [ΣΚΑ] (δεν περιλαμβάνεται) έως ΚΙΑΤΟ (εξαιρείται το τμήμα Ζευγολατιό – ΚΙΑΤΟ), συνολικού μήκους ~85,46 km 
• της διακλάδωσης από τον σταθμό Ισθμού προς Λουτράκι (μονή Σ.Γ. συνολικού μήκους ~6,7 km)
Η διαδρομή περιλαμβάνει  περιλαμβάνει 9 σιδηροδρομικούς σταθμούς.
</t>
  </si>
  <si>
    <r>
      <rPr>
        <sz val="9"/>
        <rFont val="Arial"/>
      </rPr>
      <t xml:space="preserve">Το έργο εντάχθηκε στο Αναπτυξιακό Πρόγραμμα Συμβάσεων Στρατηγικής Σημασίας του Ν.4799/2021 και έχει περιέλθει στις αρμοδιότητες της Ελληνικής Εταιρείας Συμμετοχών και Περιουσίας (ΕΕΣΥΠ) ΑΕ , η οποία μέσω της Μονάδας Συμβάσεων Στρατηγικής Σημασίας, σύμφωνα με τον Κανονισμό Αναθέσεων ΤΑΙΠΕΔ θα προβεί σε όλες τις απαραίτητες ενέργειες για την ανάθεση των απαραίτητων συμβάσεων, μελετών και παροχής υπηρεσιών για την ωρίμανση του έργου. 
</t>
    </r>
    <r>
      <rPr>
        <sz val="9"/>
        <color rgb="FFFF0000"/>
        <rFont val="Arial"/>
      </rPr>
      <t>Υπογράφηκε η σχετική Σύμβαση μεταξύ του ΥΠΥΜΕ, της ΣΕΜΑΕ και της ΕΕΣΥΠ ΑΕ.</t>
    </r>
  </si>
  <si>
    <t>Project ID 101175706
23-EL-TC-
LIO-KOR
(ΟΠΣ: 6053266)</t>
  </si>
  <si>
    <r>
      <rPr>
        <sz val="9"/>
        <rFont val="Arial"/>
      </rPr>
      <t xml:space="preserve">Υπογραφή Grant Agreement : 8-10-2024. Επιλέξιμη Δημόσια Δαπάνη Πράξης: 27.979.200,00 €.         
 Το αντικείμενο του έργου αφορά την ανάπτυξη ενός νέου συστήματος διασύνδεσης με γραμμή βάσης ETCS L1 baseline 4 v1.1 και τηλεδιοίκηση κατά μήκος:
• της διπλής Σ.Γ. από Σιδηροδρομικό Κέντρο Αχαρνών [ΣΚΑ] (δεν περιλαμβάνεται) έως ΚΙΑΤΟ (εξαιρείται το τμήμα Ζευγολατιό – ΚΙΑΤΟ), συνολικού μήκους ~85,46 km 
• της διακλάδωσης από τον σταθμό Ισθμού προς Λουτράκι (μονή Σ.Γ. συνολικού μήκους ~6,7 km)
Η διαδρομή περιλαμβάνει  περιλαμβάνει 9 σιδηροδρομικούς σταθμούς.
Επίσης, θα κατασκευαστούν νέες διεπαφές προκειμένου να επιτευχθεί η ανταλλαγή πληροφοριών μεταξύ του νέου συστήματος σηματοδότησης που θα εγκατασταθεί, με τα υπάρχοντα συστήματα σηματοδότησης που λειτουργούν στο Σιδηροδρομικό Συγκρότημα Θριάσιο, Ικόνιο, Κιάτο - Ροδοδάφνη και Αεροδρόμιο - ΣΚΑ καθώς και με το νέο σύστημα σηματοδότησης που αναμένεται να εγκατασταθεί στη μονή σιδηροδρομική γραμμή  Λιόσια – Μέγαρα.
Το έργο εντάχθηκε στο Αναπτυξιακό Πρόγραμμα Συμβάσεων Στρατηγικής Σημασίας του Ν.4799/2021 και θα περιέλθει στις αρμοδιότητες της Ελληνικής Εταιρείας Συμμετοχών και Περιουσίας (ΕΕΣΥΠ) ΑΕ , η οποία μέσω της Μονάδας Συμβάσεων Στρατηγικής Σημασίας, σύμφωνα με τον Κανονισμό Αναθέσεων ΤΑΙΠΕΔ θα προβεί σε όλες τις απαραίτητες ενέργειες για την ανάθεση των απαραίτητων συμβάσεων, μελετών και παροχής υπηρεσιών για την ωρίμανση του έργου. </t>
    </r>
    <r>
      <rPr>
        <sz val="9"/>
        <color rgb="FFFF0000"/>
        <rFont val="Arial"/>
      </rPr>
      <t>Υπογράφηκε η σχετική  Σύμβαση μεταξύ του ΥΠΥΜΕ, της ΣΕΜΑΕ και της ΕΕΣΥΠ
Με την υπ΄αριθμ. 52/29.01.2026 Απόφαση του ΥΠΕΘΟΟ το ενάριθμο εντάχθηκε στο Συγχρηματοδοτούμενο Σκέλος του ΑΠΔΕ  2026-2030 με την ειδική διάταξη ότι δεν δύναται να πραγματοποιηθεί τροποποίηση ή πληρωμή έως την εκπλήρωση των προβλεπόμενων στις εγκυκλίους οδηγιών για το ΑΠΔΕ 2025 και ΑΠΔΕ 2026. Για την εκπλήρωση της ανωτέρω ειδικής διάταξης, στις</t>
    </r>
    <r>
      <rPr>
        <sz val="9"/>
        <rFont val="Arial"/>
      </rPr>
      <t xml:space="preserve"> 22-5-2026 διαβιβάστηκε στη ΣΕ ΜΑΕ αρμοδίως υπογεγραμμένο από το Υπουργείο Υποδομών και Μεταφορών το Τεχνικό Δελτίο Έργων (ΤΔΕ), όπως αυτό παράγεται από το eΠΔΕ και στις 28-5-2026 διαβιβάστηκε στην ΕΥΔ «ΜΕΤΑΦΟΡΕΣ» και στην  Ειδική Υπηρεσία Συντονισμού της Εφαρμογής (ΕΥΣΕ) για τις καθ΄ αρμοδιότητα ενέργειές τους για την ένταξη του έργου στη ΣΑΕ 079/7 του ΑΠΔΕ 2026, με συνολικό  π/ϋ 65.246.320,00 €. </t>
    </r>
    <r>
      <rPr>
        <sz val="9"/>
        <color rgb="FFFF0000"/>
        <rFont val="Arial"/>
      </rPr>
      <t>Δεν έχει εκδοθεί ακόμα η απόφαση έγκρισης χρηματοδότησης από το ΥΠΕΘΟΟ προκειμένου να αρθεί η ειδική διάταξη ένταξης στο ΑΠΔΕ 2026.</t>
    </r>
    <r>
      <rPr>
        <sz val="9"/>
        <rFont val="Arial"/>
      </rPr>
      <t xml:space="preserve">
Η υπογραφή της σύμβασης εκτιμάται στα τέλη Μαΐου 2027.</t>
    </r>
  </si>
  <si>
    <r>
      <rPr>
        <sz val="9"/>
        <color rgb="FFFF0000"/>
        <rFont val="Arial"/>
      </rPr>
      <t>1.Έκδοση απόφασης έγκρισης χρηματοδότησης από ΥΠΕΘΟΟ
2. Έγκριση του τεχνικού δελτιου πράξης από Δ.Α.   
3.Υποβολή</t>
    </r>
    <r>
      <rPr>
        <sz val="9"/>
        <rFont val="Arial"/>
      </rPr>
      <t xml:space="preserve"> στη Δ.Α. των τευχών δημοπράτησης για προέγκριση
</t>
    </r>
    <r>
      <rPr>
        <sz val="9"/>
        <color rgb="FFFF0000"/>
        <rFont val="Arial"/>
      </rPr>
      <t>4.</t>
    </r>
    <r>
      <rPr>
        <sz val="9"/>
        <rFont val="Arial"/>
      </rPr>
      <t xml:space="preserve"> Δημοπράτηση έργου</t>
    </r>
  </si>
  <si>
    <t>ΣΚΑ - ΟΙΝΟΗ</t>
  </si>
  <si>
    <t>AΝΑΒΑΘΜΙΣΗ ΤΗΣ ΥΦΙΣΤΑΜΕΝΗΣ ΔΙΠΛΗΣ ΣΙΔΗΡΟΔΡΟΜΙΚΗΣ ΓΡΑΜΜΗΣ ΣΤΟ ΤΜΗΜΑ ΣΚΑ-ΟΙΝΟΗ ΚΑΙ ΣΙΔΗΡΟΔΡΟΜΙΚΟΥ ΣΤΑΘΜΟΥ ΑΛΙΑΡΤΟΥ</t>
  </si>
  <si>
    <t xml:space="preserve"> 240.720.000,00€ 
(Επιλέξιμη Δημόσια Δαπάνη)
(Ημερ. Έναρξης GA: 01.02.2024
Ημερ. Ολοκλ. GA: 30.09.2028)  </t>
  </si>
  <si>
    <t xml:space="preserve">Η δράση αφορά στην ανακαίνιση – αναβάθμιση υπό λειτουργία της υποδομής και επιδομής της υφιστάμενης  διπλής Σ.Γ μήκους ~52km και περιλαμβάνει ενισχύσεις/ανακατασκευές σηράγγων, γεφυρών, οδικών υπόγειων διαβάσεων, σιδηροδρομικών γραμμών, μετακίνηση του Σ.Σ. Οινοφύτων και ανακαίνιση του Σ.Σ. Οινόης και Σ. Στάσης Αλιάρτου
 </t>
  </si>
  <si>
    <t>Project ID 101175704
23-EL-TC-
SKA-OINOI
(ΟΠΣ: 6029747)</t>
  </si>
  <si>
    <r>
      <rPr>
        <sz val="9"/>
        <rFont val="Arial"/>
      </rPr>
      <t xml:space="preserve">Υπογραφή Grant Agreement : 15-10-2024.  Επιλέξιμη Δημόσια Δαπάνη Πράξης: 240.720.000,00 €.                 
Ανακαίνιση – Αναβάθμιση υπό λειτουργία υποδομής και επιδομής της  υφιστάμενης  διπλής Σ.Γ μήκους ~52km, που περιλαμβάνει:
               - Ανακατασκευή σήραγγας Αγ. Στέφανου 
               - 	Ενίσχυση / Ανακατασκευή υφιστάμενων Σιδηροδρομικών Γεφυρών και Οδικών Υπόγειων Διαβάσεων 
               - Κατασκευή αντιστηρίξεων και ενισχυμένων επιχωμάτων
               - Κατασκευή των σιδηροδρομικών γραμμών 
Σιδηροδρομικοί Σταθμοί και Στάσεις :
             - 	Μετακίνηση Σιδηροδρομικού Σταθμού Οινοφύτων 
             - Ανακαίνιση Σιδηροδρομικής Στάσης Αλιάρτου και κατασκευή Οδικής Υπόγειας Διάβασης
             - Ανακαίνιση Σιδηροδρομικού Σταθμού Οινόης
Έχουν ολοκληρωθεί η Μελέτη Ανάλυσης Κινδύνου και η Έκθεση Εκτίμησης Ασφάλειας. 
Το έργο εντάχθηκε στο Αναπτυξιακό Πρόγραμμα Συμβάσεων Στρατηγικής Σημασίας του Ν.4799/2021 και έχει περιέλθει στις αρμοδιότητες της Ελληνικής Εταιρείας Συμμετοχών και Περιουσίας (ΕΕΣΥΠ) ΑΕ , η οποία μέσω της Μονάδας Συμβάσεων Στρατηγικής Σημασίας, σύμφωνα με τον Κανονισμό Αναθέσεων ΤΑΙΠΕΔ θα προβεί σε όλες τις απαραίτητες ενέργειες για την ανάθεση των απαραίτητων συμβάσεων, μελετών και παροχής υπηρεσιών για την ωρίμανση του έργου. Έχει υπογραφεί η σχετική  Σύμβαση μεταξύ του ΥΠΥΜΕ, της ΣΕΜΑΕ και της ΕΕΣΥΠ. </t>
    </r>
    <r>
      <rPr>
        <sz val="9"/>
        <color rgb="FFFF0000"/>
        <rFont val="Arial"/>
      </rPr>
      <t>Η ΕΕΣΥΠ ολοκλήρωσε τη σύνταξη των Τευχών Δημοπράτησης και τα έχει αποστείλει στη ΣΕ ΜΑΕ για έλεγχο και έγκριση, προκειμένου εν συνεχεία να αποσταλούν στη Δ.Α. για διατύπωση σύμφωνης γνώμης. Έχουν αποσταλεί στη Δ/νση Δ25 του ΥΠΥΜΕ τα Κτηματολόγια για την κήρυξη των απαλλοτριώσεων.
Με την υπ΄αριθμ. 52/29.01.2026 Απόφαση του ΥΠΕΘΟΟ το ενάριθμο εντάχθηκε στο Συγχρηματοδοτούμενο Σκέλος του ΑΠΔΕ  2026-2030 με την ειδική διάταξη ότι δεν δύναται να πραγματοποιηθεί τροποποίηση ή πληρωμή έως την εκπλήρωση των προβλεπόμενων στις εγκυκλίους οδηγιών για το ΑΠΔΕ 2025 και ΑΠΔΕ 2026. Για την εκπλήρωση της ανωτέρω ειδικής διάταξης, στις</t>
    </r>
    <r>
      <rPr>
        <sz val="9"/>
        <rFont val="Arial"/>
      </rPr>
      <t xml:space="preserve"> 22-5-2026 διαβιβάστηκε στη ΣΕ ΜΑΕ αρμοδίως υπογεγραμμένο από το Υπουργείο Υποδομών και Μεταφορών το Τεχνικό Δελτίο Έργων (ΤΔΕ), όπως αυτό παράγεται από το eΠΔΕ και στις 28-5-2026 διαβιβάστηκε στην ΕΥΔ «ΜΕΤΑΦΟΡΕΣ» και στην  Ειδική Υπηρεσία Συντονισμού της Εφαρμογής (ΕΥΣΕ) για τις καθ΄ αρμοδιότητα ενέργειές τους για την ένταξη του έργου στη ΣΑΕ 079/7 του ΑΠΔΕ 2026, με συνολικό  π/ϋ 299.320.937 €. </t>
    </r>
    <r>
      <rPr>
        <sz val="9"/>
        <color rgb="FFFF0000"/>
        <rFont val="Arial"/>
      </rPr>
      <t>Δεν έχει εκδοθεί ακόμα η απόφαση έγκρισης χρηματοδότησης από το ΥΠΕΘΟΟ προκειμένου να αρθεί η ειδική διάταξη ένταξης στο ΑΠΔΕ 2026.</t>
    </r>
    <r>
      <rPr>
        <sz val="9"/>
        <rFont val="Arial"/>
      </rPr>
      <t xml:space="preserve">
Η υπογραφή της σύμβασης εκτιμάται στα τέλη Μαΐου 2027.</t>
    </r>
  </si>
  <si>
    <r>
      <rPr>
        <sz val="9"/>
        <color rgb="FFFF0000"/>
        <rFont val="Arial"/>
      </rPr>
      <t>1.Έκδοση απόφασης έγκρισης χρηματοδότησης από ΥΠΕΘΟΟ
2. Έγκριση του τεχνικού δελτιου πράξης από Δ.Α.               
3.Υποβολή</t>
    </r>
    <r>
      <rPr>
        <sz val="9"/>
        <rFont val="Arial"/>
      </rPr>
      <t xml:space="preserve"> στη Δ.Α. των τευχών δημοπράτησης για προέγκριση 
4. Κήρυξη Απαλλοτριώσεων 
5. Δημοπράτηση έργου</t>
    </r>
  </si>
  <si>
    <t>ΕΝΟΠΟΙΗΜΕΝΗ ΒΑΣΗ ΕΡΓΩΝ – ΟΔΗΓΙΕΣ ΧΡΗΣΗΣ</t>
  </si>
  <si>
    <t>ΔΟΜΗ ΑΡΧΕΙΟΥ</t>
  </si>
  <si>
    <t>Sheet «ΒΑΣΗ ΕΡΓΩΝ»</t>
  </si>
  <si>
    <t>Ενοποιεί τα δεδομένα και των δύο JS αρχείων σε ένα μέρος.</t>
  </si>
  <si>
    <t>ΧΡΩΜΑΤΙΣΜΟΣ ΣΤΗΛΩΝ</t>
  </si>
  <si>
    <t>🟫 Καφέ (ΚΟΙΝΕΣ)</t>
  </si>
  <si>
    <t>Στήλες που χρησιμοποιούνται και στα δύο αρχεία εξόδου (ID, Τίτλος, ΔΕΔ-Μ, Δικαιούχος)</t>
  </si>
  <si>
    <t>🔵 Μπλε (ERGA_2)</t>
  </si>
  <si>
    <t>Στήλες που παράγουν το ERGA_2.js – σύντομα κείμενα για τον χάρτη</t>
  </si>
  <si>
    <t>🟢 Πράσινο (DETAIL)</t>
  </si>
  <si>
    <t>Στήλες που παράγουν το detail_data.js – αναλυτικές πληροφορίες popup</t>
  </si>
  <si>
    <t>🟣 Μοβ (ΓΕΩ)</t>
  </si>
  <si>
    <t>Γεωγραφικές συντεταγμένες – ΜΗΝ αλλάζετε!</t>
  </si>
  <si>
    <t>ΠΩΣ ΝΑ ΕΝΗΜΕΡΩΣΕΤΕ ΔΕΔΟΜΕΝΑ</t>
  </si>
  <si>
    <t>Βήμα 1</t>
  </si>
  <si>
    <t>Ανοίξτε το sheet «ΒΑΣΗ ΕΡΓΩΝ' και επεξεργαστείτε τα πεδία που θέλετε</t>
  </si>
  <si>
    <t>Βήμα 2</t>
  </si>
  <si>
    <t>Αποθηκεύστε το αρχείο</t>
  </si>
  <si>
    <t>Βήμα 3</t>
  </si>
  <si>
    <t>Ανοίξτε τον converter (HTML) – φορτώστε αυτό το αρχείο – κατεβάστε τα JS</t>
  </si>
  <si>
    <t>ΣΗΜΑΝΤΙΚΟ</t>
  </si>
  <si>
    <t>Στήλη «Κατάσταση / Ποσοστά %»</t>
  </si>
  <si>
    <t>ΣΥΝΤΟΜΟ κείμενο για τον χάρτη (popup σύνοψη + ποσοστά). Το αναλυτικό κείμενο πηγαίνει στο «Αντικείμενο / Σχόλια».</t>
  </si>
  <si>
    <t>Γεωγρ. Πλάτος / Μήκος</t>
  </si>
  <si>
    <t>ΜΗΝ ΑΛΛΑΖΕΤΕ τιμές – καθορίζουν θέση στον χάρτη!</t>
  </si>
  <si>
    <t>ΜΗΝ ΑΛΛΑΖΕΤΕ – ο μοναδικός σύνδεσμος μεταξύ ERGA_2 και detail_data</t>
  </si>
  <si>
    <t>Χρώμα</t>
  </si>
  <si>
    <t>Sheets detail_data</t>
  </si>
  <si>
    <t>██</t>
  </si>
  <si>
    <t>CEF 14 20</t>
  </si>
  <si>
    <t>CEF 21 27</t>
  </si>
  <si>
    <t>ΠεΠ 2021-2027</t>
  </si>
  <si>
    <t>16.09.2024 (Ημερομηνία περαίωσης εργασιών)</t>
  </si>
  <si>
    <r>
      <t xml:space="preserve">Ολοκληρώνεται μετά το 2023 ως ημιτελές.  
Αντικείμενο: Η Πράξη αφορά στην κατασκευή νέας Σιδηροδρομικής Στάσης στην Παραλία Νέου Παντελεήμονα Πιερίας με στόχο την εξυπηρέτηση του κοινού, κυρίως κατά τους καλοκαιρινούς μήνες. Περιλαμβάνεται η κατασκευή αποβαθρών, στεγάστρων και κλιμακοστασίου με ανελκυστήρα, καθώς επίσης η διαμόρφωση του περιβάλλοντος χώρου και οι απαιτούμενες ηλεκτρομηχανολογικές εγκαταστάσεις. Στην Πράξη περιλαμβάνεται το Υ/Ε 2: Εργασίες αποκατάστασης δικτύων ΟΚΩ, το Υ/Ε 3: Εργασίες σηματοδότησης -τηλεδιοίκησης της Σιδηροδρομικής Στάσης οι οποίες αφορούν σε μικρής κλίμακας εργασίες για τις απαραίτητες προσαρμογές του υφιστάμενου συστήματος σηματοδότησης στη λειτουργία της νέας στάσης, το Υ/Ε 4: Oι επιμερισμένες στο παρόν έργο λειτουργικές δαπάνες της ΕΡΓΟΣΕ για την περίοδο υλοποίησης της πράξης, καθώς και το Υ/Ε5 που αφορά στην 1η Συμπληρωματική Σύμβαση Εργασιών
Σύμβαση: "ΚΑΤΑΣΚΕΥΗ ΤΗΣ ΝΕΑΣ ΣΙΔΗΡΟΔΡΟΜΙΚΗΣ ΣΤΑΣΗΣ ΣΤΟΝ ΝΕΟ ΠΑΝΤΕΛΕΗΜΟΝΑ ΠΙΕΡΙΑΣ" (Α.Σ.: 752/2021 &amp; Α.Σ.: 752-1/2024) 
Ανάδοχος: SOLIS Α.Ε.
Ημερομηνία υπογραφής σύμβασης: 19/2/2021
Προθεσμία περαίωσης εργασιών:  9/3/2026, σύμφωνα με την τελευταία εγκεκριμένη παράταση (12.02.2026). Οι εργασίες έχουν περατωθεί. Έχουν εκδοθεί οι αναφορές επιβλεπόντων. Έχει εκδοθεί εντολή αποκατάστασης επουσιωδών ελλείψεων, ώστε να εκδοθεί Βεβαίωση Περαίωσης με τη συμβατική ημερομηνία.
Ποσό σύμβασης: Σ752/2021: 801.561,78€ (χωρίς Φ.Π.Α.), Σ752-1/2024: 310.621,79€ (χωρίς Φ.Π.Α.)
Πρόοδος υλοποίησης: Σ752/2021: 90,68% (10ος λογαριασμός/27.05.2026) -  Σ752-1/2024: 76,70% (3ος λογαριασμός/27.05.2026) 
Σύμφωνα με την Τελική Έκθεση του ΕΠ ΥΜΕΠΕΡΑΑ 2014-2020, το σοβαρότερο πρόβλημα παραμένει η  μη έναρξη των αναγκαίων παρεμβάσεων στα τεχνικά δωμάτια των σταθμών Νέων Πόρων και Λεπτοκαρυάς, οι οποίες προβλέπονται σε ξεχωριστό υποέργο (Υ/Ε 3: Εργασίες σηματοδότησης - τηλεδιοίκησης της Σιδηροδρομικής Στάσης, οι οποίες αφορούν σε μικρής κλίμακας εργασίες για τις απαραίτητες προσαρμογές του υφιστάμενου συστήματος σηματοδότησης στη λειτουργία της νέας στάσης). 
</t>
    </r>
    <r>
      <rPr>
        <sz val="9"/>
        <color rgb="FFFF0000"/>
        <rFont val="Arial"/>
      </rPr>
      <t>Εξετάζονται οι εναλλακτικές επιλογές για την υλοποίηση του Υ/Ε 3.</t>
    </r>
  </si>
  <si>
    <r>
      <t xml:space="preserve">Ολοκληρώνεται μετά το 2023 ως ημιτελές  
Αντικείμενο:  Η πράξη αφορά στην ολοκλήρωση της κατασκευής των έργων υποδομής και επιδομής σιδηροδρομικής γραμμής με σηματοδότηση, τηλεδιοίκηση και τηλεπικοινωνίες στο τμήμα Διακοπτό-Ροδοδάφνη μήκους 16χλμ περίπου, στον Νομό Αχαΐας.
Σύμβαση: "ΚΑΤΑΣΚΕΥΗ ΥΠΟΛΕΙΠΟΜΕΝΩΝ ΕΡΓΩΝ ΥΠΟΔΟΜΗΣ, ΕΠΙΔΟΜΗΣ, ΣΗΜΑΤΟΔΟΤΗΣΗΣ - ΤΗΛΕΔΙΟΙΚΗΣΗΣ, ΤΗΛΕΠΙΚΟΙΝΩΝΙΩΝ &amp; Η/Μ ΕΓΚΑΤΑΣΤΑΣΕΩΝ ΣΗΡΑΓΓΩΝ ΓΙΑ ΤΗ ΝΕΑ ΣΙΔ/ΚΗ ΓΡΑΜΜΗ ΚΙΑΤΟ - ΡΟΔΟΔΑΦΝΗ" (Α.Σ.: 715/2014, 715-1/2018, 715-2/2019 και 715-3/2021)
Ανάδοχος:  ΜΕΤΚΑ Α.Ε.
Ημερομηνία υπογραφής  σύμβασης: 11/9/2014
Προθεσμία περαίωσης εργασιών: 16/9/2024 
Ποσό σύμβασης: Σ715/2014: 224.865.818,20€ (χωρίς αναθεώρηση και Φ.Π.Α.), Σ715-01/2018: 8.064.219,16 € (χωρίς αναθεώρηση και Φ.Π.Α.), Σ715-02/2019: 17.682.391,89 € (χωρίς αναθεώρηση και Φ.Π.Α.), Σ715-03/2021: 21.852.123,88 € (χωρίς αναθεώρηση και Φ.Π.Α.) 
Πρόοδος υλοποίησης: Εκδόθηκε τμηματική βεβαίωση περαίωσης από 16/7/2022 για τις συμβάσεις 715-1, 715-2 και για το μεγαλύτερο μέρος των συμβάσεων 715 και 715-3. Στις 10/2/2025 εκδόθηκε η βεβαίωση περαίωσης για το υπολειπόμενο αντικείμενο των συμβάσεων 715 και 715-3 (τμήματα που εμπλέκονταν με εκκρεμότητες αρχαιολογικών ερευνών  στις περιοχές Τραγάνα, Ξυλόκαστρο και Καμάρι και της οδοποιίας γύρωθεν του Σ.Σ. Αιγίου). 
Εκκρεμεί η έγκριση θέσης σε λειτουργία του υποσυστήματος «Υποδομή» από τη ΡΑΣ. </t>
    </r>
    <r>
      <rPr>
        <sz val="9"/>
        <color rgb="FFFF0000"/>
        <rFont val="Arial"/>
      </rPr>
      <t>Προετοιμάζεται</t>
    </r>
    <r>
      <rPr>
        <sz val="9"/>
        <rFont val="Arial"/>
      </rPr>
      <t xml:space="preserve"> ο φάκελος που θα υποβληθεί στη ΡΑΣ για την έγκριση θέσης σε λειτουργία του υποσυστήματος «Υποδομή».
Σύμφωνα με την Τελική Έκθεση του ΕΠ ΥΜΕΠΕΡΑΑ 2014-2020, το φυσικό αντικείμενο της πράξης παραμένει ατελές λόγω της εκκρεμότητας κατασκευής έργων διευθέτησης τμημάτων του Βουραϊκού ποταμού, καθώς  και των αντιπλημμυρικών έργων ανάντη και κατάντη της σιδηροδρομικής γραμμής στην περιοχή του Ελαιώνα.
 Έχουν ολοκληρωθεί οι συνεννοήσεις με την αρμόδια για το παράλληλο οδικό έργο της ΟΛΥΜΠΙΑΣ ΟΔΟΥ Υπηρεσία του ΥΠΥΜΕ (ΕΥΔΕ/ΚΣΕΣΠ), η οποία θα αναλάβει και την υλοποίηση των αντιπλημμυρικών έργων ανάντη και κατάντη της σιδηροδρομικής γραμμής στην περιοχή του Ελαιώνα σύμφωνα με το από 03.02.2026 </t>
    </r>
    <r>
      <rPr>
        <sz val="9"/>
        <color rgb="FFFF0000"/>
        <rFont val="Arial"/>
      </rPr>
      <t>έγγραφό της. 
Σε συνέχεια του από 05-08-2026 εγγράφου της ΕΥΔΕ/ΚΣΕΣΠ, με το οποίο υποβλήθηκαν στη Σ.Ε. Μ.Α.Ε. τρεις (3) εναλλακτικές λύσεις/διατάξεις αντιπλημμυρικών έργων κατάντη των οχετών L440 και L428 και της Κάτω Διάβασης Κ275 του Α/Δ Κόρινθος-Πάτρα και της ΣΓΥΤ, Οριζοντιογραφίες, Τεχνική  Έκθεση &amp; Τεύχος Υδροτεχνικών Υπολογισμών του Υδραυλικού Μελετητή της ΚΞ ΑΠΙΟΝ ΚΛΕΟΣ  και της από 25-9-2026 κοινής σύσκεψης στα γραφεια της  Σ.Ε. Μ.Α.Ε., αναμένονται οι απόψεις  της  Σ.Ε. Μ.Α.Ε. για την επιλογή της βέλτιστης λύσης. Ακολούθως</t>
    </r>
    <r>
      <rPr>
        <sz val="9"/>
        <rFont val="Arial"/>
      </rPr>
      <t xml:space="preserve"> ο υδραυλικός μελετητής </t>
    </r>
    <r>
      <rPr>
        <sz val="9"/>
        <color rgb="FFFF0000"/>
        <rFont val="Arial"/>
      </rPr>
      <t>θα</t>
    </r>
    <r>
      <rPr>
        <sz val="9"/>
        <rFont val="Arial"/>
      </rPr>
      <t xml:space="preserve"> συντάξει την οριστική υδραυλική μελέτη, η οποία, μαζί με τυχόν υποστηρικτικές (γεωτεχνικές, στατικές) αυτής, θα ελεγχθούν και εγκριθούν από τον Ανεξάρτητο Μηχανικό του έργου Παραχώρησης. Παράλληλα θα εκπονηθούν με μέριμνα της ΕΥΔΕ/ΚΣΕΣΠ, οι απαραίτητες για την υλοποίηση των αντιπλημμυρικών έργων, μελέτες κτηματολογίου με σκοπό την κήρυξη των απαιτούμενων απαλλοτριώσεων στις περιοχές της δεξαμενής ανάσχεσης (μεταξύ των δυο έργων ΣΓΥΤ και Α/Δ) και της εκβολής του αγωγού ΤΕ6 που κατασκευάστηκε κάτω από την παλαιά σιδηροδρομική γραμμή.
Εκτιμώμενο χρονοδιάγραμμα: </t>
    </r>
    <r>
      <rPr>
        <sz val="9"/>
        <color rgb="FFFF0000"/>
        <rFont val="Arial"/>
      </rPr>
      <t>(εξαρτάται από τον χρόνο επιλογής της βέλτιστης λύσης)
Ολοκλήρωση και έγκριση των μελετών:  3 ως 4 μήνες                                                                                                                                                                                                                                                               
Κήρυξη</t>
    </r>
    <r>
      <rPr>
        <sz val="9"/>
        <rFont val="Arial"/>
      </rPr>
      <t xml:space="preserve"> απαλλοτριώσεων: Ο χρόνος κήρυξης της συμπληρωματικής απαλλοτρίωσης για τα αντιπλημμυρικά έργα της ΣΓΥΤ και της παράδοσης των χώρων στο Δημόσιο για την εκτέλεση του έργου θα εξαρτηθεί από το χρόνο ολοκλήρωσης της υδραυλικής </t>
    </r>
    <r>
      <rPr>
        <sz val="9"/>
        <color rgb="FFFF0000"/>
        <rFont val="Arial"/>
      </rPr>
      <t>μελέτης (κατ' ελάχιστον 6 μήνες μετα την υποβολή της μελέτης κτηματολογίου στην Δ/νση Απαλλοτριώσεων για έλεγχο).</t>
    </r>
    <r>
      <rPr>
        <sz val="9"/>
        <rFont val="Arial"/>
      </rPr>
      <t xml:space="preserve">
 Έναρξης κατασκευής αντιπλημμυρικών έργων: θα εξαρτηθεί από τον χρόνο παράδοσης των εκτάσεων που απαιτούνται (εκτιμάται </t>
    </r>
    <r>
      <rPr>
        <sz val="9"/>
        <color rgb="FFFF0000"/>
        <rFont val="Arial"/>
      </rPr>
      <t>τέλος</t>
    </r>
    <r>
      <rPr>
        <sz val="9"/>
        <rFont val="Arial"/>
      </rPr>
      <t xml:space="preserve"> 2027)
Ολοκλήρωσης κατασκευής αντιπλημμυρικών έργων: Εκτιμώμενη διάρκεια κατ' ελάχιστον 6 μήνες έως 1 έτος
Η κατασκευή των έργων διευθέτησης τμημάτων του Βουραϊκού θα περιληφθεί σε εργολαβία "σκούπα", η οποία πρόκειται να προκηρυχθεί και για την οποία συντάσσονται τα Τεύχη Δημοπράτησης.
Στις 29.07.2026 εντάχθηκε στο ΤΠΑ ΥΠΥΜΕ 2026-2030 η πράξη «ΟΛΟΚΛΗΡΩΣΗ ΚΑΤΑΣΚΕΥΗΣ ΝΕΑΣ ΣΙΔΗΡΟΔΡΟΜΙΚΗΣ ΓΡΑΜΜΗΣ ΚΙΑΤΟ - ΡΟΔΟΔΑΦΝΗ (Τ.Ε. 2005ΣΕ07870002) ΜΕ (ΠΚ 2022ΣΕ07840005)», συνολικής δαπάνης 4.379.838,72 ευρώ. Η Πράξη περιλαμβάνει την αποπληρωμή των συμβάσεων που αφορούν στην κατασκευή της νέας διπλής σιδηροδρομικής γραμμής κανονικού εύρους υψηλών ταχυτήτων στο τμήμα Σ.Σ. Κιάτου  – περιοχή Διακοπτού, συνολικού μήκους 54,4 χλμ. περίπου, με σηματοδότηση, τηλεδιοίκηση και τηλεπικοινωνίες καθώς και την ολοκλήρωση των φυτοτεχνικών εργασιών προς εφαρμογή των προβλεπόμενων στους εγκεκριμένους Περιβαλλοντικούς Όρους.</t>
    </r>
  </si>
  <si>
    <r>
      <t xml:space="preserve">Ολοκληρώνεται μετά το 2023 ως ημιτελές.  
Αντικείμενο: Το έργο της Β’ φάσης ανάπτυξης του Κεντρικού Σιδηροδρομικού Σταθμού Αθηνών αφορά στην ολοκλήρωση κατασκευής νέων ηλεκτροκινούμενων γραμμών (Nο 1 έως 3), αποβαθρών (Nο 1 έως 6), υπόγειων διαβάσεων, άνω πεζοδιαβάσεων, Η/Μ εγκαταστάσεων κλπ για την επικοινωνία του συνόλου των αποβαθρών του σιδηροδρομικού σταθμού και τη σύνδεσή του με τον Σταθμό «Λαρίσης» της Ελληνικό Μετρό Α.Ε..
Σύμβαση: "ΥΠΟΛΕΙΠΟΜΕΝΕΣ ΕΡΓΑΣΙΕΣ ΥΠΟΔΟΜΗΣ, ΕΠΙΔΟΜΗΣ, ΗΛΕΚΤΡΟΚΙΝΗΣΗΣ ΚΑΙ ΟΛΟΚΛΗΡΩΣΗΣ ΤΗΣ ΑΝΑΒΑΘΜΙΣΗΣ ΤΟΥ ΣΣ ΑΘΗΝΩΝ &amp; ΣΥΝΔΕΣΗ ΜΕ ΜΕΤΡΟ - Β’ ΦΑΣΗ  Σ.Σ. ΑΘΗΝΩΝ" (Α.Σ.: 2513/2022)
Ανάδοχος:  Κ/Ξ ΣΙΔΗΡΟΔΡΟΜΙΚΑ ΕΡΓΑ Α.Τ.Ε. – INTRAKOM ΚΑΤΑΣΚΕΥΕΣ Α.Ε.
Ημερομηνία υπογραφής σύμβασης: 11.7.2022
Προθεσμία περαίωσης εργασιών: </t>
    </r>
    <r>
      <rPr>
        <sz val="9"/>
        <color rgb="FFFF0000"/>
        <rFont val="Arial"/>
      </rPr>
      <t>11.9.2026. Ο Ανάδοχος έχει υποβάλει αίτημα παράτασης της συνολικής προθεσμίας μέχρι 31.03.2027. Συντάχθηκε εισήγηση από τη Διευθύνουσα Υπηρεσία για παράταση μέχρι 15.02.2027 και έχει αποσταλεί στη Δ.Α. σχετικό αίτημα για προέγκριση. Σε εξέλιξη συνεργασία με τη Δ.Α. για την παροχή θετικής γνώμης για τροποποίηση της νομικής δέσμευσης (παράταση προθεσμίας περαίωσης).</t>
    </r>
    <r>
      <rPr>
        <sz val="9"/>
        <rFont val="Arial"/>
      </rPr>
      <t xml:space="preserve">
Ποσό σύμβασης: 31.527.128,59€ (χωρίς Φ.Π.Α.)
Με την από 20.11.2025 απόφαση του ΔΣ της ΣΕΜΑΕ, εγκρίθηκε ο 1ος Α.Π.Ε. του έργου σε ισοζύγιο σε σχέση με το αρχικό συμβατικό αντικείμενο.   
Πρόοδος Υλοποίησης:  </t>
    </r>
    <r>
      <rPr>
        <sz val="9"/>
        <color rgb="FFFF0000"/>
        <rFont val="Arial"/>
      </rPr>
      <t>~38,8% (33ος λογαριασμός/01.09.2026).</t>
    </r>
    <r>
      <rPr>
        <sz val="9"/>
        <rFont val="Arial"/>
      </rPr>
      <t xml:space="preserve">             
Ολοκληρώθηκε η κατεδάφιση του κτιρίου ΟΠΑΠ. Δεν κατέστη δυνατή η μετεγκατάσταση του καταστήματος εστίασης δίπλα από το κτίριο του ΟΠΑΠ και επιλέχθηκε η ενίσχυση εξωτερικά του υφιστάμενου κτηρίου ώστε να επιτραπεί η συνέχιση των εργασιών διάνοιξης της υπόγειας σύνδεσης με μετρό.       
Στις 02.07.2025 εγκρίθηκε η Αρχιτεκτονική μελέτη της Μεγάλης Υπόγειας Διάβασης και έχουν ήδη ολοκληρωθεί και οι εργασίες σκυροδέτησης. </t>
    </r>
    <r>
      <rPr>
        <sz val="9"/>
        <color rgb="FFFF0000"/>
        <rFont val="Arial"/>
      </rPr>
      <t>Έχουν ξεκινήσει και συνεχίζονται οι οικοδομικές εργασίες της Μεγάλης Υπόγειας Διάβασης. Επίσης έχουν ολοκληρωθεί</t>
    </r>
    <r>
      <rPr>
        <sz val="9"/>
        <rFont val="Arial"/>
      </rPr>
      <t xml:space="preserve"> οι εργασίες εκσκαφών, καθώς και οι σκυροδετήσεις για τις νότιες </t>
    </r>
    <r>
      <rPr>
        <sz val="9"/>
        <color rgb="FFFF0000"/>
        <rFont val="Arial"/>
      </rPr>
      <t>αποβάθρες 2,3, πλην ενός τμήματος της αποβάθρας 1. Έχουν ξεκινήσει στις νότιες αποβάθρες 2,3, εργασίες Η/Μ. Έχουν ολοκληρωθεί οι εργασίες εκσκαφών και γίνονται σκυροδετήσεις των βόρειων αποβαθρών 1,2,3.
Έχει εγκριθεί</t>
    </r>
    <r>
      <rPr>
        <sz val="9"/>
        <rFont val="Arial"/>
      </rPr>
      <t xml:space="preserve"> η Αρχιτεκτονική μελέτη της Μικρής Υπόγειας </t>
    </r>
    <r>
      <rPr>
        <sz val="9"/>
        <color rgb="FFFF0000"/>
        <rFont val="Arial"/>
      </rPr>
      <t>Διάβασης και συνεχίζεται η κατασκευή της.</t>
    </r>
    <r>
      <rPr>
        <sz val="9"/>
        <rFont val="Arial"/>
      </rPr>
      <t xml:space="preserve">
Σύμφωνα με την Τελική Έκθεση του ΕΠ ΥΜΕΠΕΡΑΑ 2014-2020, η έναρξη των κατασκευαστικών εργασιών καθυστέρησε λόγω μη έγκαιρης παράδοσης του χώρου στον ανάδοχο, εκκρεμοτήτων δικτύων και υλικών του ΟΣΕ, καθώς και της καθυστέρησης πρόσληψης προσωπικού από την ΕΦΑΠΑ για εκσκαφές. Επιπλέον, καθυστερήσεις προέκυψαν από την αδειοδότηση καθαίρεσης του κτιρίου ΟΠΑΠ, την ενίσχυση όμορου καταστήματος EVEREST και αλλαγές στο σχεδιασμό των πεζοδιαβάσεων για συμμόρφωση με τις τεχνικές προδιαγραφές διαλειτουργικότητας. Ως αποτέλεσμα, η πρόοδος των εργασιών ανέρχεται μόλις στο </t>
    </r>
    <r>
      <rPr>
        <sz val="9"/>
        <color rgb="FFFF0000"/>
        <rFont val="Arial"/>
      </rPr>
      <t>~39% του οικονομικού αντικειμένου και υπάρχει</t>
    </r>
    <r>
      <rPr>
        <sz val="9"/>
        <rFont val="Arial"/>
      </rPr>
      <t xml:space="preserve"> σημαντική αβεβαιότητα για την ολοκλήρωση του έργου μέχρι τον Φεβρουάριο 2027, σύμφωνα με τις εκτιμήσεις της Διαχειριστικής Αρχής.</t>
    </r>
  </si>
  <si>
    <r>
      <t xml:space="preserve">Επίσπευση εργασιών για να τηρηθεί ο όρος του "ημιτελούς" έργου 
</t>
    </r>
    <r>
      <rPr>
        <sz val="9"/>
        <color rgb="FFFF0000"/>
        <rFont val="Arial"/>
      </rPr>
      <t>(καταληκτική προθεσμία ολοκλήρωσης έως 15-2-2027, διαφορετικά θα πρέπει να επιστραφεί η ενωσιακή συνδρομή που έχει δαπανηθεί για την υλοποίηση της πράξης)</t>
    </r>
  </si>
  <si>
    <t>19.619.792,42 € (Συγχρηματοδοτούμενη Δημόσια Δαπάνη)</t>
  </si>
  <si>
    <t>Η πράξη αφορά σε μελέτες και εργασίες για την ανάπτυξη του Προαστιακού Σιδηροδρόμου στη Δυτική Θεσσαλονίκη επί υφιστάμενων ΣΓ (εν λειτουργία και εκτός λειτουργίας), καθώς και επί νέων τμημάτων ΣΓ. Το δίκτυο του Προαστιακού, μορφής «Υ» συνολικού μήκους 19,5χλμ., θα αποτελείται από δύο κλάδους από τα δυτικά και από ενιαίο κλάδο προς τα ανατολικά, εξυπηρετώντας συνολικά επτά στάσεις/σταθμούς.</t>
  </si>
  <si>
    <r>
      <t xml:space="preserve">Σε εξέλιξη διαγωνισμός με τη διαδικασία Ανταγωνιστικού Διαλόγου για τη σύναψη σύμβασης "Μελέτη - Κατασκευή" μαζί με τη σιδηροδρομική σύνδεση του 6ου Προβλήτα του Λιμένα Θεσσαλονίκης.
Φάση Β.ΙΙ Διαγωνισμού: </t>
    </r>
    <r>
      <rPr>
        <sz val="9"/>
        <color rgb="FFFF0000"/>
        <rFont val="Arial"/>
      </rPr>
      <t>στις 04.09.2026 αποσφραγίστηκαν οι Υποφάκελοι Α (Δικαιολογητικά Συμμετοχής) και Β (Τεχνική Προσφορά) και στις 14.10.2026 πραγματοποιήθηκε η αποσφράγιση του Υποφακέλου Γ (Οικονομική Προσφορά). Η υπογραφή της σύμβασης εκτιμάται Δεκέμβριο 2026.
Η πράξη εντάχθηκε στο Πρόγραμμα "ΜΕΤΑΦΟΡΕΣ" 2021-2027 στις 15.10.2026.</t>
    </r>
  </si>
  <si>
    <t>Εκτίμηση: Δεκέμβριος 2026</t>
  </si>
  <si>
    <t>45.715.991,40 € (Συγχρηματοδοτούμενη Δημόσια Δαπάνη)</t>
  </si>
  <si>
    <r>
      <t xml:space="preserve">Σε εξέλιξη διαγωνισμός με τη διαδικασία Ανταγωνιστικού Διαλόγου για τη σύναψη σύμβασης "Μελέτη - Κατασκευή" μαζί με την κατασκευή του Προαστιακού Δυτικής Θεσσαλονίκης.
Φάση Β.ΙΙ Διαγωνισμού: </t>
    </r>
    <r>
      <rPr>
        <sz val="9"/>
        <color rgb="FFFF0000"/>
        <rFont val="Arial"/>
      </rPr>
      <t>στις 04.09.2026 αποσφραγίστηκαν οι Υποφάκελοι Α (Δικαιολογητικά Συμμετοχής) και Β (Τεχνική Προσφορά) και στις 14.10.2026 πραγματοποιήθηκε η αποσφράγιση του Υποφακέλου Γ (Οικονομική Προσφορά). Η υπογραφή της σύμβασης εκτιμάται Δεκέμβριο 2026.
Η πράξη εντάχθηκε στο Πρόγραμμα "ΜΕΤΑΦΟΡΕΣ" 2021-2027 στις 15.10.2026.</t>
    </r>
  </si>
  <si>
    <r>
      <rPr>
        <sz val="9"/>
        <rFont val="Arial"/>
      </rPr>
      <t xml:space="preserve">Το αντικείμενο περιλαμβάνεται στην υπό ανάθεση σύμβαση «Μελέτη – Κατασκευή» του έργου «ΑΝΑΒΑΘΜΙΣΗ ΜΕ ΔΙΠΛΑΣΙΑΣΜΟ ΤΗΣ ΥΦΙΣΤΑΜΕΝΗΣ ΜΟΝΗΣ ΣΙΔΗΡΟΔΡΟΜΙΚΗΣ ΓΡΑΜΜΗΣ ΑΛΕΞΑΝΔΡΟΥΠΟΛΗ – ΠΥΘΙΟ – ΟΡΜΕΝΙΟ», η οποία βρίσκεται σε φάση δημοπράτησης με τη διαδικασία του Ανταγωνιστικού Διαλόγου.
Η Φάση Β.Ι του Ανταγωνιστικού Διαλόγου ολοκληρώθηκε στις 5-12-2024. Στις 27-1-2025 εγκρίθηκε η βέλτιστη λύση (π/ϋ 720 εκ €) και απεστάλησαν στη Διαχειριστική Αρχή, στο πλαίσιο των ενταγμένων δράσεων στο CEF II,  για προέγκριση τα Τεύχη για τη Β.ΙΙ Φάση. Η Δ.Α. </t>
    </r>
    <r>
      <rPr>
        <sz val="9"/>
        <color rgb="FFFF0000"/>
        <rFont val="Arial"/>
      </rPr>
      <t>απέστειλε έγγραφο με παρατηρήσεις, τον Σεπτέμβριο επανυποβλήθηκαν</t>
    </r>
    <r>
      <rPr>
        <sz val="9"/>
        <rFont val="Arial"/>
      </rPr>
      <t xml:space="preserve"> από τη ΣΕ </t>
    </r>
    <r>
      <rPr>
        <sz val="9"/>
        <color rgb="FFFF0000"/>
        <rFont val="Arial"/>
      </rPr>
      <t>ΜΑΕ άτυπα τα Τεύχη Δημοπράτησης και είναι σε εξέλιξη συνεργασία με τη Δ.Α. για την επίσημη υποβολή τους μέσω ΟΠΣ.</t>
    </r>
  </si>
  <si>
    <r>
      <rPr>
        <sz val="9"/>
        <rFont val="Arial"/>
      </rPr>
      <t xml:space="preserve">Έχουν εκπονηθεί και εγκριθεί οι οριστικές μελέτες. Έχουν συνταχθεί σχέδια Τευχών Δημοπράτησης και υπάρχουν εγκεκριμένοι Περιβαλλοντικοί Όροι σε ισχύ. 
Δρομολογείται άμεσα η ανάθεση  εκπόνησης Ανάλυσης Κόστους Οφέλους (πιθανώς για τον ευρύτερο άξονα Θεσσαλονίκη - Αλεξανδρούπολη/ Σύνορα). 
</t>
    </r>
    <r>
      <rPr>
        <sz val="9"/>
        <color rgb="FFFF0000"/>
        <rFont val="Arial"/>
      </rPr>
      <t>Με το από 10-08-2026 έγγραφο της Δ/νσης Δ25 του ΥΠΥΜΕ ολοκληρώθηκε η διαδικασία έγκρισης των κτηματολογίων. Εκκρεμεί</t>
    </r>
    <r>
      <rPr>
        <sz val="9"/>
        <rFont val="Arial"/>
      </rPr>
      <t xml:space="preserve"> η κήρυξη των απαλλοτριώσεων.</t>
    </r>
  </si>
  <si>
    <r>
      <t>Εκτίμηση:</t>
    </r>
    <r>
      <rPr>
        <sz val="9"/>
        <color rgb="FFFF0000"/>
        <rFont val="Arial"/>
        <family val="2"/>
        <charset val="161"/>
      </rPr>
      <t xml:space="preserve"> 3ο</t>
    </r>
    <r>
      <rPr>
        <sz val="9"/>
        <rFont val="Arial"/>
      </rPr>
      <t xml:space="preserve"> τρίμηνο 2027</t>
    </r>
  </si>
  <si>
    <r>
      <t xml:space="preserve">Η πράξη έχει ως αντικείμενο τη μελέτη εφαρμογής, προμήθεια και εγκατάσταση εξοπλισμού GSM-R για τα τμήματα </t>
    </r>
    <r>
      <rPr>
        <sz val="9"/>
        <color rgb="FFFF0000"/>
        <rFont val="Arial"/>
        <family val="2"/>
        <charset val="161"/>
      </rPr>
      <t>γραμμής Κιάτο - Ρίο, Τιθορέα - Δομοκός, Θεσσαλονίκη  – Ειδομένη, Παλαιοφάρσαλος - Καλαμπάκα και Λάρισα - Βόλος</t>
    </r>
  </si>
  <si>
    <r>
      <rPr>
        <sz val="9"/>
        <rFont val="Arial"/>
      </rPr>
      <t xml:space="preserve">Η σύμβαση παρουσιάζει ποσοστό υλοποίησης περίπου </t>
    </r>
    <r>
      <rPr>
        <sz val="9"/>
        <color rgb="FFFF0000"/>
        <rFont val="Arial"/>
      </rPr>
      <t>28,6%.</t>
    </r>
    <r>
      <rPr>
        <sz val="9"/>
        <rFont val="Arial"/>
      </rPr>
      <t xml:space="preserve"> 
Παράλληλα υλοποιείται από την ΕΥΔΕ/ΚΣΣΥ σύμβαση αποκατάστασης ζημιών σε εντοπισμένα τμήματα της γραμμής, μετά τις θεομηνίες "Daniel" και "Elias", με ανάδοχο τον Ο.Φ. "ΑΒΑΞ Α.Ε.", συνολικό ποσό 55.295.940 € (με ΦΠΑ), διάρκεια 15 μηνών και ποσοστό οικονομικής απορρόφησης: </t>
    </r>
    <r>
      <rPr>
        <sz val="9"/>
        <color rgb="FFFF0000"/>
        <rFont val="Arial"/>
      </rPr>
      <t>~99,8%. Οι εργασίες αποκατάστασης ολοκληρώθηκαν εμπρόθεσμα (βεβαίωση περαίωσης 24.08.2026).</t>
    </r>
  </si>
  <si>
    <r>
      <rPr>
        <sz val="9"/>
        <rFont val="Arial"/>
      </rPr>
      <t xml:space="preserve">Λόγω της κακοκαιρίας "DANIEL" έχουν σημειωθεί σοβαρές ζημιές τόσο στην υφιστάμενη γραμμή όσο και στις εργασίες της εν λόγω σύμβασης με αποτέλεσμα έως και σήμερα να μην πραγματοποιούνται εργασίες. Ποσοστό υλοποίησης: ~3,82%. 
Παράλληλα, υλοποιείται από την ΕΥΔΕ/ΚΣΣΥ η από 28.04.2025 σύμβαση της αποκατάστασης της σιδηροδρομικής γραμμής Λάρισας – Βόλου μετά τις θεομηνίες "Daniel" και "Elias", με ανάδοχο τον Ο.Φ. "ΆΚΤΩΡ ΑΤΕ", συνολικό ποσό 174.393.600,00 € (με ΦΠΑ), διάρκεια 15 μηνών και ποσοστό οικονομικής απορρόφησης: </t>
    </r>
    <r>
      <rPr>
        <sz val="9"/>
        <color rgb="FFFF0000"/>
        <rFont val="Arial"/>
      </rPr>
      <t>~43,1%. Εκκρεμεί η έκδοση υπουργικής απόφασης για παράταση της σύμβασης αποκατάστασης (εισήγηση Δ.Υ. έως 28.07.2027).</t>
    </r>
  </si>
  <si>
    <r>
      <rPr>
        <sz val="9"/>
        <rFont val="Arial"/>
      </rPr>
      <t xml:space="preserve">Η σύμβαση για την ηλεκτροκίνηση του τμήματος Κιάτο–Ροδοδάφνη παρουσιάζει ποσοστό υλοποίησης περίπου </t>
    </r>
    <r>
      <rPr>
        <sz val="9"/>
        <color rgb="FFFF0000"/>
        <rFont val="Arial"/>
      </rPr>
      <t>69,1%.</t>
    </r>
    <r>
      <rPr>
        <sz val="9"/>
        <rFont val="Arial"/>
        <family val="2"/>
        <charset val="161"/>
      </rPr>
      <t xml:space="preserve">
</t>
    </r>
    <r>
      <rPr>
        <sz val="9"/>
        <color rgb="FFFF0000"/>
        <rFont val="Arial"/>
        <family val="2"/>
        <charset val="161"/>
      </rPr>
      <t>Στις 07.10.2026 η Δ.Α. εξέδωσε απόφαση θέσης σε επιτήρηση της Πράξης. λόγω μεγάλων καθυστερήσεων στη δρομολόγηση της κατασκευής των διασυνδετήριων Γ.Μ. 150 kV Υ/Σ Ξυλοκάστρου &amp; Αιγίου και των συνοδών έργων (υπηρεσίες του ΑΔΜΕ για τις εργασίες αυτές και απαλλοτριώσεις), οι οποίες θα επιφέρουν αναπόφευκτα σημαντικές και μη αναστρέψιμες καθυστερήσεις στην ολοκλήρωση και λειτουργική περάτωση του έργου.</t>
    </r>
  </si>
  <si>
    <r>
      <rPr>
        <sz val="9"/>
        <rFont val="Arial"/>
      </rPr>
      <t xml:space="preserve">Η εργολαβία ολοκλήρωσης του τμήματος Ροδοδάφνη–Ρίο παρουσιάζει ποσοστό υλοποίησης περίπου </t>
    </r>
    <r>
      <rPr>
        <sz val="9"/>
        <color rgb="FFFF0000"/>
        <rFont val="Arial"/>
      </rPr>
      <t>52,7%.</t>
    </r>
    <r>
      <rPr>
        <sz val="9"/>
        <rFont val="Arial"/>
      </rPr>
      <t xml:space="preserve"> Οι εργασίες προγραμματιζόταν να εκτελεστούν επί ήδη κατασκευασμένης υποδομής στο πλαίσιο προηγούμενων εργολαβιών. Η εργολαβία Α.Σ. 716 διαλύθηκε τον Σεπτέμβριο 2023 με συνέπεια η υποδομή να έχει μείνει ημιτελής στο τμήμα Αραχωβίτικα - Ρίο, μήκους ~7χλμ. Δρομολογείται η αποκοπή των εργασιών του τμήματος Αραχωβίτικα - Ρίο (π/ΰ~ 20εκ.€) από τη σύμβαση (2ος ΑΠΕ) και η επαναδημοπράτηση του συνολικού φυσικού αντικειμένου του εν λόγω τμήματος (υπολειπόμενες εργασίες υποδομής, επιδομή, Σ.Σ., ηλεκτροκίνηση, σηματοδότηση) ως ξεχωριστή σύμβαση. </t>
    </r>
    <r>
      <rPr>
        <sz val="9"/>
        <color rgb="FFFF0000"/>
        <rFont val="Arial"/>
      </rPr>
      <t>Στις 08.10.2026 εγκρίθηκε από το Δ.Σ. της ΣΕ ΜΑΕ ο 2ος Α.Π.Ε. και προετοιμάζεται ο φάκελος για αποστολή του στο Ελεγκτικό Συνέδριο για έλεγχο νομιμότητας.</t>
    </r>
  </si>
  <si>
    <r>
      <rPr>
        <sz val="9"/>
        <rFont val="Arial"/>
      </rPr>
      <t xml:space="preserve">- </t>
    </r>
    <r>
      <rPr>
        <sz val="9"/>
        <color rgb="FFFF0000"/>
        <rFont val="Arial"/>
      </rPr>
      <t>Υποβολή 2ου ΑΠΕ στο Ελ.Συν.</t>
    </r>
    <r>
      <rPr>
        <sz val="9"/>
        <rFont val="Arial"/>
      </rPr>
      <t xml:space="preserve"> 
- Ένταξη στο Πρόγραμμα "ΜΕΤΑΦΟΡΕΣ" 2021-2027
</t>
    </r>
    <r>
      <rPr>
        <sz val="9"/>
        <color rgb="FFFF0000"/>
        <rFont val="Arial"/>
      </rPr>
      <t>- Επίλυση του θέματος ένταξης των υπολειπόμενων εργασιών υποδομής της διαλυθείσας σύμβασης Α.Σ. 716 στο ΑΠΔΕ</t>
    </r>
    <r>
      <rPr>
        <sz val="9"/>
        <rFont val="Arial"/>
      </rPr>
      <t xml:space="preserve">
- Δημοπράτηση νέας εργολαβίας κατασκευής του τμήματος Αραχωβίτικα – Ρίο </t>
    </r>
    <r>
      <rPr>
        <sz val="9"/>
        <color rgb="FFFF0000"/>
        <rFont val="Arial"/>
      </rPr>
      <t>(</t>
    </r>
    <r>
      <rPr>
        <sz val="9"/>
        <rFont val="Arial"/>
      </rPr>
      <t>υπολειπόμενες εργασίες υποδομής, επιδομή, Σ.Σ., ηλεκτροκίνηση, σηματοδότηση</t>
    </r>
    <r>
      <rPr>
        <sz val="9"/>
        <color rgb="FFFF0000"/>
        <rFont val="Arial"/>
      </rPr>
      <t>)</t>
    </r>
  </si>
  <si>
    <r>
      <rPr>
        <sz val="9"/>
        <rFont val="Arial"/>
      </rPr>
      <t xml:space="preserve">Η εργολαβία παρουσιάζει ποσοστό υλοποίησης περίπου </t>
    </r>
    <r>
      <rPr>
        <sz val="9"/>
        <color rgb="FFFF0000"/>
        <rFont val="Arial"/>
      </rPr>
      <t>22,6%.</t>
    </r>
    <r>
      <rPr>
        <sz val="9"/>
        <rFont val="Arial"/>
        <family val="2"/>
        <charset val="161"/>
      </rPr>
      <t xml:space="preserve">
</t>
    </r>
    <r>
      <rPr>
        <sz val="9"/>
        <color rgb="FFFF0000"/>
        <rFont val="Arial"/>
        <family val="2"/>
        <charset val="161"/>
      </rPr>
      <t xml:space="preserve">Αναμένεται η υποβολή της ΑΚΟ στη ΣΕ ΜΑΕ μέχρι 16.10.2026. Θα ακολουθήσει η υποβολή, μέσω ΟΠΣ, αιτήματος χρηματοδότησης από το Πρόγραμμα "ΜΕΤΑΦΟΡΕΣ" 2021-2027     </t>
    </r>
    <r>
      <rPr>
        <sz val="9"/>
        <rFont val="Arial"/>
        <family val="2"/>
        <charset val="161"/>
      </rPr>
      <t xml:space="preserve">   </t>
    </r>
  </si>
  <si>
    <r>
      <t xml:space="preserve">Στις 31.12.2024 έληξε το Grant Agreement και το έργο δεν έχει ολοκληρωθεί (ποσοστό υλοποίησης Αρχικής Σύμβασης </t>
    </r>
    <r>
      <rPr>
        <sz val="9"/>
        <color rgb="FFFF0000"/>
        <rFont val="Arial"/>
      </rPr>
      <t>~36,2%,</t>
    </r>
    <r>
      <rPr>
        <sz val="9"/>
        <rFont val="Arial"/>
      </rPr>
      <t xml:space="preserve"> 1ης Σ.Σ.Ε. ~71,1% και 2ης Σ.Σ.Ε. ~21%).
Σημαντικές καθυστερήσεις στην υλοποίηση του έργου προκλήθηκαν λόγω αρχαιολογικών εργασιών που εκτελούνται με αυτεπιστασία, μετατόπισης πυκνού δικτύου ΟΚΩ από τους αρμόδιους φορείς (ΕΥΔΑΠ, ΔΕΔΔΗΕ και ΕΔΑ), καθώς και διασταύρωσης του διαδρόμου με τη σήραγγα του μετρό.
Στις 20.05.2026 διαβιβάστηκε στην ΕΥΣΕ η Τελική Έκθεση της </t>
    </r>
    <r>
      <rPr>
        <sz val="9"/>
        <color rgb="FFFF0000"/>
        <rFont val="Arial"/>
      </rPr>
      <t>Δράσης, η οποία εν συνεχεία την απέστειλε στη CINEA. Στις 19.10.2026 γνωστοποιήθηκε από τη CINEA η ολοκλήρωση της αξιολόγησης με αποδοχή του φυσικού αντικειμένου που υλοποιήθηκε, καίτοι ημιτελές. Αναφορικά με τις δαπάνες θα πρέπει να επιστραφεί το ποσό των 9.443.490,67 €.</t>
    </r>
  </si>
  <si>
    <r>
      <rPr>
        <sz val="9"/>
        <rFont val="Arial"/>
      </rPr>
      <t xml:space="preserve">Το αντικείμενο περιλαμβάνεται στην υπό ανάθεση σύμβαση «Μελέτη – Κατασκευή» του έργου «ΑΝΑΒΑΘΜΙΣΗ ΜΕ ΔΙΠΛΑΣΙΑΣΜΟ ΤΗΣ ΥΦΙΣΤΑΜΕΝΗΣ ΜΟΝΗΣ ΣΙΔΗΡΟΔΡΟΜΙΚΗΣ ΓΡΑΜΜΗΣ ΑΛΕΞΑΝΔΡΟΥΠΟΛΗ – ΠΥΘΙΟ – ΟΡΜΕΝΙΟ», η οποία βρίσκεται σε φάση δημοπράτησης με τη διαδικασία του Ανταγωνιστικού Διαλόγου.
Η Φάση Β.Ι του Ανταγωνιστικού Διαλόγου ολοκληρώθηκε στις 5-12-2024. Στις 27-1-2025 εγκρίθηκε η βέλτιστη λύση (π/ϋ 720 εκ €) και απεστάλησαν στη Διαχειριστική Αρχή για προέγκριση τα Τεύχη για τη Β.ΙΙ Φάση. Η Δ.Α. </t>
    </r>
    <r>
      <rPr>
        <sz val="9"/>
        <color rgb="FFFF0000"/>
        <rFont val="Arial"/>
      </rPr>
      <t>απέστειλε έγγραφο με παρατηρήσεις, τον Σεπτέμβριο επανυποβλήθηκαν</t>
    </r>
    <r>
      <rPr>
        <sz val="9"/>
        <rFont val="Arial"/>
      </rPr>
      <t xml:space="preserve"> από τη ΣΕ </t>
    </r>
    <r>
      <rPr>
        <sz val="9"/>
        <color rgb="FFFF0000"/>
        <rFont val="Arial"/>
      </rPr>
      <t>ΜΑΕ άτυπα τα Τεύχη Δημοπράτησης και είναι σε εξέλιξη συνεργασία με τη Δ.Α. για την επίσημη υποβολή τους μέσω ΟΠΣ.</t>
    </r>
  </si>
  <si>
    <r>
      <t xml:space="preserve">Υπογραφή Grant Agreement: 16-10-2024. Επιλέξιμη Δημόσια Δαπάνη Πράξης:  219.609.315,00 €. 
Η δράση αφορά στις εργασίες αναβάθμισης της υποδομής και επιδομής της μονής σιδηροδρομικής γραμμής στο τμήμα Πύθιο - Ορμένιο σε μήκος ~ 47 χλμ. 
Το αντικείμενο περιλαμβάνεται στην υπό ανάθεση σύμβαση «Μελέτη – Κατασκευή» του έργου «ΑΝΑΒΑΘΜΙΣΗ ΜΕ ΔΙΠΛΑΣΙΑΣΜΟ ΤΗΣ ΥΦΙΣΤΑΜΕΝΗΣ ΜΟΝΗΣ ΣΙΔΗΡΟΔΡΟΜΙΚΗΣ ΓΡΑΜΜΗΣ ΑΛΕΞΑΝΔΡΟΥΠΟΛΗ – ΠΥΘΙΟ – ΟΡΜΕΝΙΟ», η οποία βρίσκεται σε φάση δημοπράτησης με τη διαδικασία του Ανταγωνιστικού Διαλόγου.
Η υπό ανάθεση εργολαβία αποτελείται από 2 τμήματα Αλεξ/πολη-Πύθιο (111χλμ) &amp; Πύθιο-Ορμένιο (64χλμ) και περιλαμβάνει την κατασκευή υποδομής για διπλή γραμμή και επιδομής μονής γραμμής σε μήκος ~68 χλμ στο πρώτο τμήμα και ~ 47 χλμ στο δεύτερο, καθώς και την εγκατάσταση  ηλεκτροκίνησης και συστημάτων σηματοδότησης, τηλεδιοίκησης με ETCS–Level 1 και GSM-R στο σύνολο της γραμμής Αλεξανδρούπολη - Πύθιο - Ορμένιο.
Οι εργασίες αναβάθμισης της υποδομής και επιδομής και στο τμήμα Αλεξ/πολη-Πύθιο συγχρηματοδοτούνται από το CEF 2021-2027.
Πιο συγκεκριμένα, στην παρούσα δράση περιλαμβάνονται:
- οι εργασίες αναβάθμισης των 47 χλμ. της υφιστάμενης μονής σιδηροδρομικής γραμμής (τόσο της υποδομής όσο και της επιδομής, ενώ η υποδομή θα κατασκευαστεί με πρόβλεψη για δεύτερη γραμμή).
- η κατασκευή της σιδηροδρομικής υποδομής σε τρεις νέους σιδηροδρομικούς σταθμούς (Ορεστιάδα, Καστανιές και Ορμένιο), μιας νέας σιδηροδρομικής στάσης στη Δίκαια και η αναβάθμιση της υφιστάμενης σιδηροδρομικής στάσης στο Χειμώνιο.
- η αποκατάσταση του επηρεαζόμενου οδικού δικτύου.
Στον προϋπολογισμό της πράξης περιλαμβάνονται επίσης οι δαπάνες για τις οριστικές μελέτες, τις απαλλοτριώσεις των απαιτούμενων εκτάσεων, τη διοίκηση και διαχείριση κατά τη διάρκεια υλοποίησης του έργου, και για τις μετατοπίσεις των ΟΚΩ.
Οι εργασίες που αφορούν στην εγκατάσταση ηλεκτροκίνησης και συστημάτων σηματοδότησης, τηλεδιοίκησης, ETCS Level 1 και GSMR δεν συγχρηματοδοτούνται και θα υποβληθεί πρόταση χρηματοδότησης στο Πρόγραμμα "ΜΕΤΑΦΟΡΕΣ" 2021-2027, στο πλαίσιο της νέας Προτεραιότητας 12 που προστέθηκε κατά τη 2η Αναθεώρησή του.
Στις 21-1-2024 εγκρίθηκαν οι περιβαλλοντικοί όροι του έργου. Ο Ανταγωνιστικός Διάλογος έχει προχωρήσει και στις 5-12-2024 ολοκληρώθηκε το στάδιο Β.Ι (κλείσιμο κύκλου Διαλόγου). Στις 27-01-2025 εγκρίθηκε η υποβληθείσα από τον Τεχνικό Σύμβουλο (Α.Σ. 5901) βέλτιστη λύση (προϋπολογισμού 720 εκ. €) και απεστάλησαν στην ΕΥΔ/ΜΕΤΑΦΟΡΕΣ για προέγκριση τα τεύχη του Β.ΙΙ σταδίου του Ανταγωνιστικού Διαλόγου. Η Δ.Α. </t>
    </r>
    <r>
      <rPr>
        <sz val="9"/>
        <color rgb="FFFF0000"/>
        <rFont val="Arial"/>
      </rPr>
      <t>απέστειλε έγγραφο με παρατηρήσεις, τον Σεπτέμβριο επανυποβλήθηκαν από τη ΣΕ ΜΑΕ άτυπα τα Τεύχη Δημοπράτησης και είναι σε εξέλιξη συνεργασία με τη Δ.Α. για την επίσημη υποβολή τους μέσω ΟΠΣ.</t>
    </r>
    <r>
      <rPr>
        <sz val="9"/>
        <rFont val="Arial"/>
      </rPr>
      <t xml:space="preserve"> 
Έχουν δημοσιευτεί σε ΦΕΚ οι αποφάσεις κήρυξης των απαλλοτριώσεων με τη διαδικασία του άρθρου 7Α και με διάγραμμα οριζοντιογραφίας (επί ορθοφωτοχάρτη) για τη σιδ/κή γραμμή και το οδικό δίκτυο τόσο για το τμήμα Πύθιο - Ορμένιο όσο και για το τμήμα Αλεξανδρούπολη - Πύθιο. Σε εξέλιξη τα δικαστήρια προσδιορισμού προσωρινής τιμής. 
</t>
    </r>
    <r>
      <rPr>
        <sz val="9"/>
        <color rgb="FFFF0000"/>
        <rFont val="Arial"/>
      </rPr>
      <t>Με την υπ΄αριθμ. 52/29.01.2026 Απόφαση του ΥΠΕΘΟΟ το ενάριθμο εντάχθηκε στο Συγχρηματοδοτούμενο Σκέλος του ΑΠΔΕ  2026-2030 με την ειδική διάταξη ότι δεν δύναται να πραγματοποιηθεί τροποποίηση ή πληρωμή έως την εκπλήρωση των προβλεπόμενων στις εγκυκλίους οδηγιών για το ΑΠΔΕ 2025 και ΑΠΔΕ 2026. Για την εκπλήρωση της ανωτέρω ειδικής διάταξης στις</t>
    </r>
    <r>
      <rPr>
        <sz val="9"/>
        <rFont val="Arial"/>
      </rPr>
      <t xml:space="preserve"> 22-5-2026 διαβιβάστηκε στη ΣΕ ΜΑΕ αρμοδίως υπογεγραμμένο από το Υπουργείο Υποδομών και Μεταφορών το Τεχνικό Δελτίο Έργων (ΤΔΕ), όπως αυτό παράγεται από το eΠΔΕ και στις 28-5-2026 διαβιβάστηκε στην ΕΥΔ/ΜΕΤΑΦΟΡΕΣ και στην  Ειδική Υπηρεσία Συντονισμού της Εφαρμογής (ΕΥΣΕ) για τις καθ΄ αρμοδιότητα ενέργειές τους για την ένταξη του έργου στη ΣΑΕ 079/7 του ΑΠΔΕ 2026, με συνολικό  π/ϋ 270.300.000,00 €. </t>
    </r>
    <r>
      <rPr>
        <sz val="9"/>
        <color rgb="FFFF0000"/>
        <rFont val="Arial"/>
      </rPr>
      <t>Δεν έχει εκδοθεί ακόμα η απόφαση έγκρισης χρηματοδότησης από το ΥΠΕΘΟΟ προκειμένου να αρθεί η ειδική διάταξη ένταξης στο ΑΠΔΕ 2026.</t>
    </r>
    <r>
      <rPr>
        <sz val="9"/>
        <rFont val="Arial"/>
      </rPr>
      <t xml:space="preserve">
H υπογραφή της σύμβασης εκτιμάται τέλη Φεβρουαρίου 2027, με εκτιμώμενη διάρκεια κατασκευής 4 έτη.
</t>
    </r>
    <r>
      <rPr>
        <sz val="9"/>
        <color rgb="FFFF0000"/>
        <rFont val="Arial"/>
      </rPr>
      <t>Στις 25.09.2026 η ΣΕ ΜΑΕ απέστειλε στην ΕΥΔ ΜΕΤΑΦΟΡΕΣ το Σχέδιο Δράσης Επικοινωνίας του έργου, το οποίο αποτελεί το Παραδοτέο Νο 1 του Πακέτου Εργασίας 1 (WP1), σύμφωνα με το GA</t>
    </r>
  </si>
  <si>
    <r>
      <t xml:space="preserve">Υπογραφή Grant Agreement: 15.10.2025. Επιλέξιμη Δημόσια Δαπάνη Πράξης: 325.891.827,00 €. 
Η δράση αφορά στις εργασίες αναβάθμισης της υποδομής και επιδομής της μονής σιδηροδρομικής γραμμής στο τμήμα Αλεξ/πολη-Πύθιο σε μήκος ~ 68 χλμ. 
Το αντικείμενο περιλαμβάνεται στην υπό ανάθεση σύμβαση «Μελέτη – Κατασκευή» του έργου «ΑΝΑΒΑΘΜΙΣΗ ΜΕ ΔΙΠΛΑΣΙΑΣΜΟ ΤΗΣ ΥΦΙΣΤΑΜΕΝΗΣ ΜΟΝΗΣ ΣΙΔΗΡΟΔΡΟΜΙΚΗΣ ΓΡΑΜΜΗΣ ΑΛΕΞΑΝΔΡΟΥΠΟΛΗ – ΠΥΘΙΟ – ΟΡΜΕΝΙΟ», η οποία βρίσκεται σε φάση δημοπράτησης με τη διαδικασία του Ανταγωνιστικού Διαλόγου.
Η υπό ανάθεση εργολαβία αποτελείται από 2 τμήματα Αλεξ/πολη-Πύθιο (111χλμ) &amp; Πύθιο-Ορμένιο (64χλμ) και περιλαμβάνει την κατασκευή υποδομής για διπλή γραμμή και επιδομής μονής γραμμής σε μήκος ~68 χλμ στο πρώτο τμήμα και ~ 47 χλμ στο δεύτερο, καθώς και την εγκατάσταση  ηλεκτροκίνησης και συστημάτων σηματοδότησης, τηλεδιοίκησης, ETCS–Level 1 και GSM-R στο σύνολο της γραμμής Αλεξανδρούπολη - Πύθιο - Ορμένιο.
Οι εργασίες αναβάθμισης της υποδομής και επιδομής και στο τμήμα Πύθιο-Ορμένιο συγχρηματοδοτούνται από το CEF 2021-2027. 
Πιο συγκεκριμένα, στην παρούσα δράση περιλαμβάνονται:
- Οι εργασίες αναβάθμισης των 68χλμ. της υφιστάμενης μονής σιδηροδρομικής γραμμής (τόσο της υποδομής όσο και της επιδομής, ενώ η υποδομή θα κατασκευαστεί με πρόβλεψη για δεύτερη γραμμή). 
- Η κατασκευή της σιδηροδρομικής υποδομής σε δύο νέους επιβατικούς σιδηροδρομικούς σταθμούς (Σουφλί, Λαγυνά), σε έναν νέο σταθμό εξυπηρέτησης (Λουτρό), σε δύο νέες σιδηροδρομικές στάσεις (Πέπλος, Λυκόφως) και η αναβάθμιση της σιδηροδρομικής υποδομής σε έξι υφιστάμενους σταθμούς και μία στάση (Αλεξανδρούπολη, Φέρες, Τυχερό, Λάβαρα, Διδυμότειχο, Πύθιο και Αμόριο, αντίστοιχα).
- Η αποκατάσταση του επηρεαζόμενου οδικού δικτύου.
Στον προϋπολογισμό της πράξης περιλαμβάνονται επίσης οι δαπάνες για τις οριστικές μελέτες, τις απαλλοτριώσεις των απαιτούμενων εκτάσεων, τη διοίκηση και διαχείριση κατά τη διάρκεια υλοποίησης του έργου, και για τις μετατοπίσεις των ΟΚΩ.
Οι εργασίες που αφορούν στην εγκατάσταση ηλεκτροκίνησης και συστημάτων σηματοδότησης, τηλεδιοίκησης, ETCS Level 1 και GSMR δεν συγχρηματοδοτούνται και θα υποβληθεί πρόταση χρηματοδότησης στο Πρόγραμμα "ΜΕΤΑΦΟΡΕΣ" 2021-2027, στο πλαίσιο της νέας Προτεραιότητας 12 που προστέθηκε κατά τη 2η Αναθεώρησή του.
Στις 21-1-2024 εγκρίθηκαν οι περιβαλλοντικοί όροι του έργου. Ο Ανταγωνιστικός Διάλογος έχει προχωρήσει και στις 5-12-2024 ολοκληρώθηκε το στάδιο Β.Ι (κλείσιμο κύκλου Διαλόγου). Στις 27-01-2025 εγκρίθηκε η υποβληθείσα από τον Τεχνικό Σύμβουλο (Α.Σ. 5901) βέλτιστη λύση (προϋπολογισμού 720 εκ. €) και απεστάλησαν στην ΕΥΔ/ΜΕΤΑΦΟΡΕΣ για προέγκριση τα τεύχη του Β.ΙΙ σταδίου του Ανταγωνιστικού Διαλόγου. Η Δ.Α. </t>
    </r>
    <r>
      <rPr>
        <sz val="9"/>
        <color rgb="FFFF0000"/>
        <rFont val="Arial"/>
      </rPr>
      <t>απέστειλε έγγραφο με παρατηρήσεις, τον Σεπτέμβριο επανυποβλήθηκαν από τη ΣΕ ΜΑΕ άτυπα τα Τεύχη Δημοπράτησης και είναι σε εξέλιξη συνεργασία με τη Δ.Α. για την επίσημη υποβολή τους μέσω ΟΠΣ.</t>
    </r>
    <r>
      <rPr>
        <sz val="9"/>
        <rFont val="Arial"/>
      </rPr>
      <t xml:space="preserve">  
Έχουν δημοσιευτεί σε ΦΕΚ οι αποφάσεις κήρυξης των απαλλοτριώσεων με τη διαδικασία του άρθρου 7Α και με διάγραμμα οριζοντιογραφίας (επί ορθοφωτοχάρτη) για τη σιδ/κή γραμμή και το οδικό δίκτυο τόσο για το τμήμα Πύθιο - Ορμένιο όσο και για το τμήμα Αλεξανδρούπολη - Πύθιο. Σε εξέλιξη τα δικαστήρια προσδιορισμού προσωρινής τιμής.
Στις 22-5-2026 διαβιβάστηκε στη ΣΕ ΜΑΕ αρμοδίως υπογεγραμμένο από το Υπουργείο Υποδομών και Μεταφορών το Τεχνικό Δελτίο Έργων (ΤΔΕ), όπως αυτό παράγεται από το eΠΔΕ και στις 28-5-2026 διαβιβάστηκε στην ΕΥΔ «ΜΕΤΑΦΟΡΕΣ» και στην  Ειδική Υπηρεσία Συντονισμού της Εφαρμογής (ΕΥΣΕ) για τις καθ΄ αρμοδιότητα ενέργειές τους για την ένταξη του έργου στη ΣΑΕ 079/7 του ΑΠΔΕ 2026, με συνολικό  π/ϋ 400.920.000,00 €.  </t>
    </r>
    <r>
      <rPr>
        <sz val="9"/>
        <color rgb="FFFF0000"/>
        <rFont val="Arial"/>
      </rPr>
      <t>Δεν έχει εκδοθεί ακόμα η απόφαση έγκρισης χρηματοδότησης από το ΥΠΕΘΟΟ, προκειμένου να προχωρήσει η ένταξη του έργου στο ΑΠΔΕ 2026.</t>
    </r>
    <r>
      <rPr>
        <sz val="9"/>
        <rFont val="Arial"/>
      </rPr>
      <t xml:space="preserve">
Η υπογραφή της σύμβασης εκτιμάται τέλη Φεβρουαρίου 2027, με εκτιμώμενη διάρκεια κατασκευής 4 έτη.</t>
    </r>
  </si>
  <si>
    <r>
      <t>Στην παρούσα φάση είναι σε εξελιξη ο προσυμβατικός έλεγχος από το Ελ. Συν. Εκδόθηκε η υπ' αριθμ. 183/2026 Πράξη του Ε΄ Κλιμακίου του Ελ. Συν., σύμφωνα με την οποία κωλύεται η υπογραφή της σύμβασης. Τον Μάιο κατατέθηκε Προσφυγή Ανάκλησης ενώπιον του αρμόδιου Τμήματος του Ελεγκτικού Συνεδρίου, η οποία επίσης απορρίφθηκε.</t>
    </r>
    <r>
      <rPr>
        <sz val="9"/>
        <color rgb="FFFF0000"/>
        <rFont val="Arial"/>
        <family val="2"/>
        <charset val="161"/>
      </rPr>
      <t xml:space="preserve"> Στις 07.10.2026 συζητήθηκε στην Ολομέλεια του ΕλΣυν η Προσφυγή Αναθεώρησης η οποία κατατέθηκε από τη ΣΕ ΜΑΕ και ζητήθηκαν συμπληρωματικά στοιχεία με προθεσμία υποβολής στις 23.10.2016.</t>
    </r>
  </si>
  <si>
    <r>
      <t xml:space="preserve">Το έργο εντάχθηκε στο Αναπτυξιακό Πρόγραμμα Συμβάσεων Στρατηγικής Σημασίας του Ν.4799/2021 και έχει περιέλθει στις αρμοδιότητες της Ελληνικής Εταιρείας Συμμετοχών και Περιουσίας (ΕΕΣΥΠ) ΑΕ , η οποία μέσω της Μονάδας Συμβάσεων Στρατηγικής Σημασίας, σύμφωνα με τον Κανονισμό Αναθέσεων ΤΑΙΠΕΔ θα προβεί σε όλες τις απαραίτητες ενέργειες για την ανάθεση των απαραίτητων συμβάσεων, μελετών και παροχής υπηρεσιών για την ωρίμανση του έργου. 
 Έχει υπογραφεί η σχετική  Σύμβαση μεταξύ του ΥΠΥΜΕ, της ΣΕΜΑΕ και της ΕΕΣΥΠ ΑΕ.
</t>
    </r>
    <r>
      <rPr>
        <sz val="9"/>
        <color rgb="FFFF0000"/>
        <rFont val="Arial"/>
      </rPr>
      <t>Η ΕΕΣΥΠ ολοκλήρωσε τη σύνταξη των Τευχών Δημοπράτησης και τα έχει αποστείλει στη ΣΕ ΜΑΕ για έλεγχο και έγκριση, προκειμένου εν συνεχεία να αποσταλούν στη Δ.Α. για διατύπωση σύμφωνης γνώμης.</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</si>
</sst>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1"/>
      <color rgb="FFFFFFFF"/>
      <name val="Arial"/>
    </font>
    <font>
      <b/>
      <sz val="9"/>
      <color rgb="FFFFFFFF"/>
      <name val="Arial"/>
    </font>
    <font>
      <b/>
      <sz val="9"/>
      <name val="Arial"/>
    </font>
    <font>
      <sz val="9"/>
      <name val="Arial"/>
    </font>
    <font>
      <sz val="9"/>
      <color rgb="FF000000"/>
      <name val="Arial"/>
    </font>
    <font>
      <sz val="9"/>
      <color rgb="FF0EA5E9"/>
      <name val="Arial"/>
    </font>
    <font>
      <sz val="9"/>
      <color rgb="FF22C55E"/>
      <name val="Arial"/>
    </font>
    <font>
      <sz val="9"/>
      <color rgb="FFA855F7"/>
      <name val="Arial"/>
    </font>
    <font>
      <sz val="9"/>
      <color rgb="FFF97316"/>
      <name val="Arial"/>
    </font>
    <font>
      <sz val="9"/>
      <color rgb="FF6B7280"/>
      <name val="Arial"/>
    </font>
    <font>
      <sz val="9"/>
      <name val="Arial"/>
      <family val="2"/>
    </font>
    <font>
      <b/>
      <sz val="9"/>
      <name val="Arial"/>
      <family val="2"/>
    </font>
    <font>
      <sz val="9"/>
      <name val="Arial"/>
      <family val="2"/>
      <charset val="161"/>
    </font>
    <font>
      <b/>
      <sz val="9"/>
      <name val="Arial"/>
      <family val="2"/>
      <charset val="161"/>
    </font>
    <font>
      <b/>
      <sz val="9"/>
      <color rgb="FFFFFFFF"/>
      <name val="Arial"/>
      <family val="2"/>
      <charset val="161"/>
    </font>
    <font>
      <sz val="9"/>
      <color rgb="FFFF0000"/>
      <name val="Arial"/>
    </font>
    <font>
      <sz val="9"/>
      <color rgb="FFFF0000"/>
      <name val="Arial"/>
      <family val="2"/>
      <charset val="161"/>
    </font>
  </fonts>
  <fills count="19">
    <fill>
      <patternFill patternType="none"/>
    </fill>
    <fill>
      <patternFill patternType="gray125"/>
    </fill>
    <fill>
      <patternFill patternType="solid">
        <fgColor rgb="FF1E3A5F"/>
      </patternFill>
    </fill>
    <fill>
      <patternFill patternType="solid">
        <fgColor rgb="FF7B3F00"/>
      </patternFill>
    </fill>
    <fill>
      <patternFill patternType="solid">
        <fgColor rgb="FF0F5132"/>
      </patternFill>
    </fill>
    <fill>
      <patternFill patternType="solid">
        <fgColor rgb="FF5C2D91"/>
      </patternFill>
    </fill>
    <fill>
      <patternFill patternType="solid">
        <fgColor rgb="FFF97316"/>
      </patternFill>
    </fill>
    <fill>
      <patternFill patternType="solid">
        <fgColor rgb="FFF8F9FA"/>
      </patternFill>
    </fill>
    <fill>
      <patternFill patternType="solid">
        <fgColor rgb="FF22C55E"/>
      </patternFill>
    </fill>
    <fill>
      <patternFill patternType="solid">
        <fgColor rgb="FF0EA5E9"/>
      </patternFill>
    </fill>
    <fill>
      <patternFill patternType="solid">
        <fgColor rgb="FFA855F7"/>
      </patternFill>
    </fill>
    <fill>
      <patternFill patternType="solid">
        <fgColor rgb="FF344955"/>
      </patternFill>
    </fill>
    <fill>
      <patternFill patternType="solid">
        <fgColor rgb="FFFFF3CD"/>
      </patternFill>
    </fill>
    <fill>
      <patternFill patternType="solid">
        <fgColor rgb="FFD6E4F0"/>
      </patternFill>
    </fill>
    <fill>
      <patternFill patternType="solid">
        <fgColor rgb="FFD4EDDA"/>
      </patternFill>
    </fill>
    <fill>
      <patternFill patternType="solid">
        <fgColor rgb="FFE8D5F5"/>
      </patternFill>
    </fill>
    <fill>
      <patternFill patternType="solid">
        <fgColor rgb="FF8B0000"/>
      </patternFill>
    </fill>
    <fill>
      <patternFill patternType="solid">
        <fgColor rgb="FF6B7280"/>
      </patternFill>
    </fill>
    <fill>
      <patternFill patternType="solid">
        <fgColor rgb="FFFFFF00"/>
        <bgColor indexed="64"/>
      </patternFill>
    </fill>
  </fills>
  <borders count="3">
    <border>
      <left/>
      <right/>
      <top/>
      <bottom/>
      <diagonal/>
    </border>
    <border>
      <left style="thin">
        <color rgb="FFFFFFFF"/>
      </left>
      <right style="thin">
        <color rgb="FFFFFFFF"/>
      </right>
      <top/>
      <bottom style="thin">
        <color rgb="FFFFFFFF"/>
      </bottom>
      <diagonal/>
    </border>
    <border>
      <left style="hair">
        <color rgb="FFCCCCCC"/>
      </left>
      <right style="hair">
        <color rgb="FFCCCCCC"/>
      </right>
      <top/>
      <bottom style="hair">
        <color rgb="FFCCCCCC"/>
      </bottom>
      <diagonal/>
    </border>
  </borders>
  <cellStyleXfs count="1">
    <xf numFmtId="0" fontId="0" fillId="0" borderId="0"/>
  </cellStyleXfs>
  <cellXfs count="70">
    <xf numFmtId="0" fontId="0" fillId="0" borderId="0" xfId="0"/>
    <xf numFmtId="0" fontId="1" fillId="2" borderId="0" xfId="0" applyFont="1" applyFill="1" applyAlignment="1">
      <alignment horizontal="center" vertical="center"/>
    </xf>
    <xf numFmtId="0" fontId="2" fillId="3"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3" fillId="0" borderId="2" xfId="0" applyFont="1" applyBorder="1" applyAlignment="1">
      <alignment horizontal="center" vertical="top"/>
    </xf>
    <xf numFmtId="0" fontId="4" fillId="0" borderId="2" xfId="0" applyFont="1" applyBorder="1" applyAlignment="1">
      <alignment horizontal="left" vertical="top" wrapText="1"/>
    </xf>
    <xf numFmtId="0" fontId="3" fillId="7" borderId="2" xfId="0" applyFont="1" applyFill="1" applyBorder="1" applyAlignment="1">
      <alignment horizontal="center" vertical="top"/>
    </xf>
    <xf numFmtId="0" fontId="4" fillId="7" borderId="2" xfId="0" applyFont="1" applyFill="1" applyBorder="1" applyAlignment="1">
      <alignment horizontal="left" vertical="top" wrapText="1"/>
    </xf>
    <xf numFmtId="0" fontId="2" fillId="8" borderId="2" xfId="0" applyFont="1" applyFill="1" applyBorder="1" applyAlignment="1">
      <alignment horizontal="center" vertical="top"/>
    </xf>
    <xf numFmtId="0" fontId="2" fillId="9" borderId="2" xfId="0" applyFont="1" applyFill="1" applyBorder="1" applyAlignment="1">
      <alignment horizontal="center" vertical="top"/>
    </xf>
    <xf numFmtId="0" fontId="2" fillId="2" borderId="0" xfId="0" applyFont="1" applyFill="1" applyAlignment="1">
      <alignment vertical="center" wrapText="1"/>
    </xf>
    <xf numFmtId="0" fontId="5" fillId="0" borderId="0" xfId="0" applyFont="1" applyAlignment="1">
      <alignment vertical="center" wrapText="1"/>
    </xf>
    <xf numFmtId="0" fontId="2" fillId="11" borderId="0" xfId="0" applyFont="1" applyFill="1" applyAlignment="1">
      <alignment vertical="center" wrapText="1"/>
    </xf>
    <xf numFmtId="0" fontId="5" fillId="12" borderId="0" xfId="0" applyFont="1" applyFill="1" applyAlignment="1">
      <alignment vertical="center" wrapText="1"/>
    </xf>
    <xf numFmtId="0" fontId="5" fillId="13" borderId="0" xfId="0" applyFont="1" applyFill="1" applyAlignment="1">
      <alignment vertical="center" wrapText="1"/>
    </xf>
    <xf numFmtId="0" fontId="5" fillId="14" borderId="0" xfId="0" applyFont="1" applyFill="1" applyAlignment="1">
      <alignment vertical="center" wrapText="1"/>
    </xf>
    <xf numFmtId="0" fontId="5" fillId="15" borderId="0" xfId="0" applyFont="1" applyFill="1" applyAlignment="1">
      <alignment vertical="center" wrapText="1"/>
    </xf>
    <xf numFmtId="0" fontId="2" fillId="16" borderId="0" xfId="0" applyFont="1" applyFill="1" applyAlignment="1">
      <alignment vertical="center" wrapText="1"/>
    </xf>
    <xf numFmtId="0" fontId="2" fillId="3" borderId="1" xfId="0" applyFont="1" applyFill="1" applyBorder="1" applyAlignment="1">
      <alignment horizontal="center" vertical="center"/>
    </xf>
    <xf numFmtId="0" fontId="2" fillId="9" borderId="0" xfId="0" applyFont="1" applyFill="1" applyAlignment="1">
      <alignment horizontal="center"/>
    </xf>
    <xf numFmtId="0" fontId="6" fillId="0" borderId="0" xfId="0" applyFont="1"/>
    <xf numFmtId="0" fontId="4" fillId="0" borderId="0" xfId="0" applyFont="1"/>
    <xf numFmtId="0" fontId="2" fillId="8" borderId="0" xfId="0" applyFont="1" applyFill="1" applyAlignment="1">
      <alignment horizontal="center"/>
    </xf>
    <xf numFmtId="0" fontId="7" fillId="0" borderId="0" xfId="0" applyFont="1"/>
    <xf numFmtId="0" fontId="2" fillId="10" borderId="0" xfId="0" applyFont="1" applyFill="1" applyAlignment="1">
      <alignment horizontal="center"/>
    </xf>
    <xf numFmtId="0" fontId="8" fillId="0" borderId="0" xfId="0" applyFont="1"/>
    <xf numFmtId="0" fontId="2" fillId="6" borderId="0" xfId="0" applyFont="1" applyFill="1" applyAlignment="1">
      <alignment horizontal="center"/>
    </xf>
    <xf numFmtId="0" fontId="9" fillId="0" borderId="0" xfId="0" applyFont="1"/>
    <xf numFmtId="0" fontId="2" fillId="17" borderId="0" xfId="0" applyFont="1" applyFill="1" applyAlignment="1">
      <alignment horizontal="center"/>
    </xf>
    <xf numFmtId="0" fontId="10" fillId="0" borderId="0" xfId="0" applyFont="1"/>
    <xf numFmtId="0" fontId="0" fillId="18" borderId="0" xfId="0" applyFill="1"/>
    <xf numFmtId="0" fontId="3" fillId="0" borderId="2" xfId="0" applyFont="1" applyBorder="1" applyAlignment="1">
      <alignment horizontal="left" vertical="top" wrapText="1"/>
    </xf>
    <xf numFmtId="0" fontId="4" fillId="0" borderId="2" xfId="0" applyFont="1" applyBorder="1" applyAlignment="1">
      <alignment horizontal="center" vertical="top" wrapText="1"/>
    </xf>
    <xf numFmtId="0" fontId="3" fillId="7" borderId="2" xfId="0" applyFont="1" applyFill="1" applyBorder="1" applyAlignment="1">
      <alignment horizontal="left" vertical="top" wrapText="1"/>
    </xf>
    <xf numFmtId="0" fontId="4" fillId="7" borderId="2" xfId="0" applyFont="1" applyFill="1" applyBorder="1" applyAlignment="1">
      <alignment horizontal="center" vertical="top" wrapText="1"/>
    </xf>
    <xf numFmtId="0" fontId="11" fillId="0" borderId="2" xfId="0" applyFont="1" applyBorder="1" applyAlignment="1">
      <alignment horizontal="left" vertical="top" wrapText="1"/>
    </xf>
    <xf numFmtId="14" fontId="0" fillId="0" borderId="0" xfId="0" applyNumberFormat="1"/>
    <xf numFmtId="0" fontId="11" fillId="7" borderId="2" xfId="0" applyFont="1" applyFill="1" applyBorder="1" applyAlignment="1">
      <alignment horizontal="left" vertical="top" wrapText="1"/>
    </xf>
    <xf numFmtId="0" fontId="12" fillId="0" borderId="2" xfId="0" applyFont="1" applyBorder="1" applyAlignment="1">
      <alignment horizontal="left" vertical="top" wrapText="1"/>
    </xf>
    <xf numFmtId="0" fontId="11" fillId="0" borderId="2" xfId="0" quotePrefix="1" applyFont="1" applyBorder="1" applyAlignment="1">
      <alignment horizontal="left" vertical="top" wrapText="1"/>
    </xf>
    <xf numFmtId="0" fontId="11" fillId="7" borderId="2" xfId="0" applyFont="1" applyFill="1" applyBorder="1" applyAlignment="1">
      <alignment horizontal="center" vertical="top" wrapText="1"/>
    </xf>
    <xf numFmtId="0" fontId="12" fillId="7" borderId="2" xfId="0" applyFont="1" applyFill="1" applyBorder="1" applyAlignment="1">
      <alignment horizontal="left" vertical="top" wrapText="1"/>
    </xf>
    <xf numFmtId="0" fontId="4" fillId="0" borderId="2" xfId="0" quotePrefix="1" applyFont="1" applyBorder="1" applyAlignment="1">
      <alignment horizontal="left" vertical="top" wrapText="1"/>
    </xf>
    <xf numFmtId="4" fontId="4" fillId="0" borderId="2" xfId="0" applyNumberFormat="1" applyFont="1" applyBorder="1" applyAlignment="1">
      <alignment horizontal="left" vertical="top" wrapText="1"/>
    </xf>
    <xf numFmtId="14" fontId="2" fillId="4" borderId="1" xfId="0" applyNumberFormat="1" applyFont="1" applyFill="1" applyBorder="1" applyAlignment="1">
      <alignment horizontal="center" vertical="center" wrapText="1"/>
    </xf>
    <xf numFmtId="14" fontId="4" fillId="0" borderId="2" xfId="0" applyNumberFormat="1" applyFont="1" applyBorder="1" applyAlignment="1">
      <alignment horizontal="left" vertical="top" wrapText="1"/>
    </xf>
    <xf numFmtId="14" fontId="4" fillId="7" borderId="2" xfId="0" applyNumberFormat="1" applyFont="1" applyFill="1" applyBorder="1" applyAlignment="1">
      <alignment horizontal="left" vertical="top" wrapText="1"/>
    </xf>
    <xf numFmtId="14" fontId="13" fillId="0" borderId="2" xfId="0" applyNumberFormat="1" applyFont="1" applyBorder="1" applyAlignment="1">
      <alignment horizontal="left" vertical="top" wrapText="1"/>
    </xf>
    <xf numFmtId="0" fontId="14" fillId="0" borderId="2" xfId="0" applyFont="1" applyBorder="1" applyAlignment="1">
      <alignment horizontal="left" vertical="top" wrapText="1"/>
    </xf>
    <xf numFmtId="0" fontId="13" fillId="0" borderId="2" xfId="0" applyFont="1" applyBorder="1" applyAlignment="1">
      <alignment horizontal="left" vertical="top" wrapText="1"/>
    </xf>
    <xf numFmtId="0" fontId="13" fillId="7" borderId="2" xfId="0" applyFont="1" applyFill="1" applyBorder="1" applyAlignment="1">
      <alignment horizontal="left" vertical="top" wrapText="1"/>
    </xf>
    <xf numFmtId="0" fontId="15" fillId="6" borderId="2" xfId="0" applyFont="1" applyFill="1" applyBorder="1" applyAlignment="1">
      <alignment horizontal="center" vertical="top"/>
    </xf>
    <xf numFmtId="0" fontId="15" fillId="10" borderId="2" xfId="0" applyFont="1" applyFill="1" applyBorder="1" applyAlignment="1">
      <alignment horizontal="center" vertical="top"/>
    </xf>
    <xf numFmtId="0" fontId="13" fillId="7" borderId="2" xfId="0" quotePrefix="1" applyFont="1" applyFill="1" applyBorder="1" applyAlignment="1">
      <alignment horizontal="left" vertical="top" wrapText="1"/>
    </xf>
    <xf numFmtId="0" fontId="14" fillId="7" borderId="2" xfId="0" applyFont="1" applyFill="1" applyBorder="1" applyAlignment="1">
      <alignment horizontal="left" vertical="top" wrapText="1"/>
    </xf>
    <xf numFmtId="0" fontId="16" fillId="7" borderId="2" xfId="0" applyFont="1" applyFill="1" applyBorder="1" applyAlignment="1">
      <alignment horizontal="left" vertical="top" wrapText="1"/>
    </xf>
    <xf numFmtId="0" fontId="16" fillId="0" borderId="2" xfId="0" applyFont="1" applyBorder="1" applyAlignment="1">
      <alignment horizontal="left" vertical="top" wrapText="1"/>
    </xf>
    <xf numFmtId="14" fontId="16" fillId="0" borderId="2" xfId="0" applyNumberFormat="1" applyFont="1" applyBorder="1" applyAlignment="1">
      <alignment horizontal="left" vertical="top" wrapText="1"/>
    </xf>
    <xf numFmtId="14" fontId="16" fillId="7" borderId="2" xfId="0" applyNumberFormat="1" applyFont="1" applyFill="1" applyBorder="1" applyAlignment="1">
      <alignment horizontal="left" vertical="top" wrapText="1"/>
    </xf>
    <xf numFmtId="0" fontId="17" fillId="7" borderId="2" xfId="0" applyFont="1" applyFill="1" applyBorder="1" applyAlignment="1">
      <alignment horizontal="left" vertical="top" wrapText="1"/>
    </xf>
    <xf numFmtId="0" fontId="17" fillId="0" borderId="2" xfId="0" applyFont="1" applyBorder="1" applyAlignment="1">
      <alignment horizontal="left" vertical="top" wrapText="1"/>
    </xf>
    <xf numFmtId="0" fontId="13" fillId="0" borderId="2" xfId="0" applyFont="1" applyBorder="1" applyAlignment="1">
      <alignment horizontal="center" vertical="top" wrapText="1"/>
    </xf>
    <xf numFmtId="0" fontId="16" fillId="7" borderId="2" xfId="0" quotePrefix="1" applyFont="1" applyFill="1" applyBorder="1" applyAlignment="1">
      <alignment horizontal="left" vertical="top" wrapText="1"/>
    </xf>
    <xf numFmtId="0" fontId="2" fillId="3" borderId="0" xfId="0" applyFont="1" applyFill="1" applyAlignment="1">
      <alignment horizontal="center" vertical="center"/>
    </xf>
    <xf numFmtId="0" fontId="0" fillId="0" borderId="0" xfId="0"/>
    <xf numFmtId="0" fontId="2" fillId="4" borderId="0" xfId="0" applyFont="1" applyFill="1" applyAlignment="1">
      <alignment horizontal="center" vertical="center"/>
    </xf>
    <xf numFmtId="0" fontId="2" fillId="2" borderId="0" xfId="0" applyFont="1" applyFill="1" applyAlignment="1">
      <alignment horizontal="center" vertical="center"/>
    </xf>
    <xf numFmtId="0" fontId="2" fillId="5"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5"/>
  <sheetViews>
    <sheetView tabSelected="1" zoomScale="85" workbookViewId="0">
      <pane xSplit="6" ySplit="3" topLeftCell="O20" activePane="bottomRight" state="frozen"/>
      <selection pane="topRight"/>
      <selection pane="bottomLeft"/>
      <selection pane="bottomRight" activeCell="A4" sqref="A4:A25"/>
    </sheetView>
  </sheetViews>
  <sheetFormatPr defaultRowHeight="14.4" x14ac:dyDescent="0.3"/>
  <cols>
    <col min="1" max="1" width="5" customWidth="1"/>
    <col min="2" max="2" width="14" customWidth="1"/>
    <col min="3" max="3" width="22" customWidth="1"/>
    <col min="4" max="4" width="45" customWidth="1"/>
    <col min="5" max="5" width="12" customWidth="1"/>
    <col min="6" max="6" width="22" customWidth="1"/>
    <col min="7" max="7" width="15" customWidth="1"/>
    <col min="8" max="8" width="18" customWidth="1"/>
    <col min="9" max="9" width="20" customWidth="1"/>
    <col min="10" max="10" width="28" customWidth="1"/>
    <col min="11" max="11" width="16" customWidth="1"/>
    <col min="12" max="12" width="30" customWidth="1"/>
    <col min="13" max="13" width="55" customWidth="1"/>
    <col min="14" max="14" width="59.44140625" customWidth="1"/>
    <col min="15" max="17" width="12" customWidth="1"/>
    <col min="18" max="18" width="35" customWidth="1"/>
    <col min="19" max="19" width="22" customWidth="1"/>
    <col min="20" max="20" width="55" customWidth="1"/>
    <col min="21" max="21" width="40" customWidth="1"/>
    <col min="22" max="24" width="22" customWidth="1"/>
    <col min="25" max="25" width="16" style="38" customWidth="1"/>
    <col min="26" max="26" width="18" customWidth="1"/>
    <col min="27" max="27" width="14" customWidth="1"/>
    <col min="28" max="28" width="20" customWidth="1"/>
    <col min="29" max="29" width="18" customWidth="1"/>
    <col min="30" max="31" width="13" customWidth="1"/>
  </cols>
  <sheetData>
    <row r="1" spans="1:24" ht="21.9" customHeight="1" x14ac:dyDescent="0.3">
      <c r="A1" s="1" t="s">
        <v>0</v>
      </c>
      <c r="C1" s="32" t="s">
        <v>1</v>
      </c>
      <c r="D1" s="38">
        <v>46240</v>
      </c>
    </row>
    <row r="2" spans="1:24" ht="18" customHeight="1" x14ac:dyDescent="0.3">
      <c r="A2" s="65" t="s">
        <v>2</v>
      </c>
      <c r="B2" s="66"/>
      <c r="C2" s="66"/>
      <c r="D2" s="66"/>
      <c r="E2" s="66"/>
      <c r="F2" s="66"/>
      <c r="G2" s="68" t="s">
        <v>3</v>
      </c>
      <c r="H2" s="66"/>
      <c r="I2" s="66"/>
      <c r="J2" s="66"/>
      <c r="K2" s="66"/>
      <c r="L2" s="66"/>
      <c r="M2" s="66"/>
      <c r="N2" s="66"/>
      <c r="O2" s="66"/>
      <c r="P2" s="66"/>
      <c r="Q2" s="66"/>
      <c r="R2" s="67" t="s">
        <v>4</v>
      </c>
      <c r="S2" s="66"/>
      <c r="T2" s="66"/>
      <c r="U2" s="66"/>
      <c r="V2" s="66"/>
      <c r="W2" s="69" t="s">
        <v>5</v>
      </c>
      <c r="X2" s="66"/>
    </row>
    <row r="3" spans="1:24" ht="36" customHeight="1" x14ac:dyDescent="0.3">
      <c r="A3" s="2" t="s">
        <v>6</v>
      </c>
      <c r="B3" s="2" t="s">
        <v>7</v>
      </c>
      <c r="C3" s="2" t="s">
        <v>8</v>
      </c>
      <c r="D3" s="2" t="s">
        <v>9</v>
      </c>
      <c r="E3" s="2" t="s">
        <v>10</v>
      </c>
      <c r="F3" s="2" t="s">
        <v>11</v>
      </c>
      <c r="G3" s="3" t="s">
        <v>12</v>
      </c>
      <c r="H3" s="3" t="s">
        <v>13</v>
      </c>
      <c r="I3" s="3" t="s">
        <v>14</v>
      </c>
      <c r="J3" s="3" t="s">
        <v>15</v>
      </c>
      <c r="K3" s="3" t="s">
        <v>16</v>
      </c>
      <c r="L3" s="3" t="s">
        <v>17</v>
      </c>
      <c r="M3" s="3" t="s">
        <v>18</v>
      </c>
      <c r="N3" s="3" t="s">
        <v>19</v>
      </c>
      <c r="O3" s="3" t="s">
        <v>20</v>
      </c>
      <c r="P3" s="3" t="s">
        <v>21</v>
      </c>
      <c r="Q3" s="3" t="s">
        <v>22</v>
      </c>
      <c r="R3" s="4" t="s">
        <v>23</v>
      </c>
      <c r="S3" s="4" t="s">
        <v>24</v>
      </c>
      <c r="T3" s="4" t="s">
        <v>25</v>
      </c>
      <c r="U3" s="4" t="s">
        <v>26</v>
      </c>
      <c r="V3" s="46" t="s">
        <v>27</v>
      </c>
      <c r="W3" s="5" t="s">
        <v>28</v>
      </c>
      <c r="X3" s="5" t="s">
        <v>29</v>
      </c>
    </row>
    <row r="4" spans="1:24" ht="60" customHeight="1" x14ac:dyDescent="0.3">
      <c r="A4" s="8">
        <v>1</v>
      </c>
      <c r="B4" s="11" t="s">
        <v>30</v>
      </c>
      <c r="C4" s="35" t="s">
        <v>31</v>
      </c>
      <c r="D4" s="39" t="s">
        <v>32</v>
      </c>
      <c r="E4" s="36" t="s">
        <v>33</v>
      </c>
      <c r="F4" s="9" t="s">
        <v>34</v>
      </c>
      <c r="G4" s="9" t="s">
        <v>35</v>
      </c>
      <c r="H4" s="9" t="s">
        <v>36</v>
      </c>
      <c r="I4" s="9" t="s">
        <v>37</v>
      </c>
      <c r="J4" s="9" t="s">
        <v>38</v>
      </c>
      <c r="K4" s="9" t="s">
        <v>39</v>
      </c>
      <c r="L4" s="9" t="s">
        <v>285</v>
      </c>
      <c r="M4" s="39" t="s">
        <v>40</v>
      </c>
      <c r="N4" s="39" t="s">
        <v>41</v>
      </c>
      <c r="O4" s="36"/>
      <c r="P4" s="36"/>
      <c r="Q4" s="36"/>
      <c r="R4" s="9">
        <v>5003002</v>
      </c>
      <c r="S4" s="9" t="s">
        <v>42</v>
      </c>
      <c r="T4" s="9" t="s">
        <v>287</v>
      </c>
      <c r="U4" s="9" t="s">
        <v>43</v>
      </c>
      <c r="V4" s="9" t="s">
        <v>44</v>
      </c>
      <c r="W4" s="36">
        <v>38.22968269416733</v>
      </c>
      <c r="X4" s="36">
        <v>22.12596469269695</v>
      </c>
    </row>
    <row r="5" spans="1:24" ht="60" customHeight="1" x14ac:dyDescent="0.3">
      <c r="A5" s="8">
        <v>2</v>
      </c>
      <c r="B5" s="11" t="s">
        <v>30</v>
      </c>
      <c r="C5" s="35" t="s">
        <v>45</v>
      </c>
      <c r="D5" s="39" t="s">
        <v>46</v>
      </c>
      <c r="E5" s="36" t="s">
        <v>33</v>
      </c>
      <c r="F5" s="9" t="s">
        <v>34</v>
      </c>
      <c r="G5" s="9" t="s">
        <v>35</v>
      </c>
      <c r="H5" s="9" t="s">
        <v>47</v>
      </c>
      <c r="I5" s="9" t="s">
        <v>48</v>
      </c>
      <c r="J5" s="9" t="s">
        <v>49</v>
      </c>
      <c r="K5" s="9" t="s">
        <v>50</v>
      </c>
      <c r="L5" s="9" t="s">
        <v>51</v>
      </c>
      <c r="M5" s="9" t="s">
        <v>52</v>
      </c>
      <c r="N5" s="9" t="s">
        <v>53</v>
      </c>
      <c r="O5" s="42" t="s">
        <v>54</v>
      </c>
      <c r="P5" s="42" t="s">
        <v>55</v>
      </c>
      <c r="Q5" s="36"/>
      <c r="R5" s="9" t="s">
        <v>56</v>
      </c>
      <c r="S5" s="57" t="s">
        <v>57</v>
      </c>
      <c r="T5" s="9" t="s">
        <v>286</v>
      </c>
      <c r="U5" s="9" t="s">
        <v>58</v>
      </c>
      <c r="V5" s="9" t="s">
        <v>59</v>
      </c>
      <c r="W5" s="36">
        <v>39.993635602571658</v>
      </c>
      <c r="X5" s="36">
        <v>22.612281760079821</v>
      </c>
    </row>
    <row r="6" spans="1:24" ht="60" customHeight="1" x14ac:dyDescent="0.3">
      <c r="A6" s="6">
        <v>3</v>
      </c>
      <c r="B6" s="11" t="s">
        <v>30</v>
      </c>
      <c r="C6" s="40" t="s">
        <v>60</v>
      </c>
      <c r="D6" s="7" t="s">
        <v>61</v>
      </c>
      <c r="E6" s="34" t="s">
        <v>33</v>
      </c>
      <c r="F6" s="9" t="s">
        <v>34</v>
      </c>
      <c r="G6" s="7" t="s">
        <v>35</v>
      </c>
      <c r="H6" s="7" t="s">
        <v>62</v>
      </c>
      <c r="I6" s="7" t="s">
        <v>63</v>
      </c>
      <c r="J6" s="7" t="s">
        <v>64</v>
      </c>
      <c r="K6" s="7" t="s">
        <v>65</v>
      </c>
      <c r="L6" s="58" t="s">
        <v>66</v>
      </c>
      <c r="M6" s="37" t="s">
        <v>67</v>
      </c>
      <c r="N6" s="37" t="s">
        <v>68</v>
      </c>
      <c r="O6" s="34"/>
      <c r="P6" s="34"/>
      <c r="Q6" s="34"/>
      <c r="R6" s="7">
        <v>5085313</v>
      </c>
      <c r="S6" s="7" t="s">
        <v>57</v>
      </c>
      <c r="T6" s="7" t="s">
        <v>288</v>
      </c>
      <c r="U6" s="7" t="s">
        <v>289</v>
      </c>
      <c r="V6" s="7" t="s">
        <v>69</v>
      </c>
      <c r="W6" s="34">
        <v>37.998489601328941</v>
      </c>
      <c r="X6" s="34">
        <v>23.720672594351949</v>
      </c>
    </row>
    <row r="7" spans="1:24" ht="60" customHeight="1" x14ac:dyDescent="0.3">
      <c r="A7" s="8">
        <v>4</v>
      </c>
      <c r="B7" s="10" t="s">
        <v>70</v>
      </c>
      <c r="C7" s="33" t="s">
        <v>71</v>
      </c>
      <c r="D7" s="7" t="s">
        <v>72</v>
      </c>
      <c r="E7" s="34" t="s">
        <v>73</v>
      </c>
      <c r="F7" s="7" t="s">
        <v>34</v>
      </c>
      <c r="G7" s="7" t="s">
        <v>74</v>
      </c>
      <c r="H7" s="62" t="s">
        <v>294</v>
      </c>
      <c r="I7" s="51" t="s">
        <v>75</v>
      </c>
      <c r="J7" s="7" t="s">
        <v>76</v>
      </c>
      <c r="K7" s="62" t="s">
        <v>293</v>
      </c>
      <c r="L7" s="7" t="s">
        <v>77</v>
      </c>
      <c r="M7" s="7" t="s">
        <v>78</v>
      </c>
      <c r="N7" s="51" t="s">
        <v>295</v>
      </c>
      <c r="O7" s="34"/>
      <c r="P7" s="34"/>
      <c r="Q7" s="34"/>
      <c r="R7" s="7">
        <v>6050689</v>
      </c>
      <c r="S7" s="7" t="s">
        <v>79</v>
      </c>
      <c r="T7" s="51" t="s">
        <v>80</v>
      </c>
      <c r="U7" s="7" t="s">
        <v>81</v>
      </c>
      <c r="V7" s="59" t="s">
        <v>82</v>
      </c>
      <c r="W7" s="34">
        <v>40.620909655604493</v>
      </c>
      <c r="X7" s="34">
        <v>22.92685023557468</v>
      </c>
    </row>
    <row r="8" spans="1:24" ht="60" customHeight="1" x14ac:dyDescent="0.3">
      <c r="A8" s="8">
        <v>5</v>
      </c>
      <c r="B8" s="10" t="s">
        <v>70</v>
      </c>
      <c r="C8" s="35" t="s">
        <v>83</v>
      </c>
      <c r="D8" s="39" t="s">
        <v>84</v>
      </c>
      <c r="E8" s="36" t="s">
        <v>73</v>
      </c>
      <c r="F8" s="7" t="s">
        <v>34</v>
      </c>
      <c r="G8" s="7" t="s">
        <v>74</v>
      </c>
      <c r="H8" s="61" t="s">
        <v>290</v>
      </c>
      <c r="I8" s="52" t="s">
        <v>85</v>
      </c>
      <c r="J8" s="9" t="s">
        <v>76</v>
      </c>
      <c r="K8" s="62" t="s">
        <v>293</v>
      </c>
      <c r="L8" s="7" t="s">
        <v>77</v>
      </c>
      <c r="M8" s="52" t="s">
        <v>291</v>
      </c>
      <c r="N8" s="52" t="s">
        <v>292</v>
      </c>
      <c r="O8" s="36"/>
      <c r="P8" s="36"/>
      <c r="Q8" s="36"/>
      <c r="R8" s="9" t="s">
        <v>86</v>
      </c>
      <c r="S8" s="9" t="s">
        <v>79</v>
      </c>
      <c r="T8" s="52" t="s">
        <v>87</v>
      </c>
      <c r="U8" s="9" t="s">
        <v>81</v>
      </c>
      <c r="V8" s="60" t="s">
        <v>82</v>
      </c>
      <c r="W8" s="36">
        <v>40.660311606082793</v>
      </c>
      <c r="X8" s="36">
        <v>22.93222773211583</v>
      </c>
    </row>
    <row r="9" spans="1:24" ht="60" customHeight="1" x14ac:dyDescent="0.3">
      <c r="A9" s="6">
        <v>6</v>
      </c>
      <c r="B9" s="10" t="s">
        <v>70</v>
      </c>
      <c r="C9" s="40" t="s">
        <v>88</v>
      </c>
      <c r="D9" s="37" t="s">
        <v>89</v>
      </c>
      <c r="E9" s="34"/>
      <c r="F9" s="7" t="s">
        <v>34</v>
      </c>
      <c r="G9" s="7" t="s">
        <v>90</v>
      </c>
      <c r="H9" s="52" t="s">
        <v>91</v>
      </c>
      <c r="I9" s="52" t="s">
        <v>92</v>
      </c>
      <c r="J9" s="7" t="s">
        <v>76</v>
      </c>
      <c r="K9" s="7" t="s">
        <v>93</v>
      </c>
      <c r="L9" s="7" t="s">
        <v>94</v>
      </c>
      <c r="M9" s="7" t="s">
        <v>95</v>
      </c>
      <c r="N9" s="51" t="s">
        <v>296</v>
      </c>
      <c r="O9" s="34"/>
      <c r="P9" s="34"/>
      <c r="Q9" s="34"/>
      <c r="R9" s="7"/>
      <c r="S9" s="9" t="s">
        <v>79</v>
      </c>
      <c r="T9" s="51" t="s">
        <v>96</v>
      </c>
      <c r="U9" s="37" t="s">
        <v>97</v>
      </c>
      <c r="V9" s="47"/>
      <c r="W9" s="34">
        <v>41.262565783473633</v>
      </c>
      <c r="X9" s="34">
        <v>26.326213919983751</v>
      </c>
    </row>
    <row r="10" spans="1:24" ht="60" customHeight="1" x14ac:dyDescent="0.3">
      <c r="A10" s="8">
        <v>7</v>
      </c>
      <c r="B10" s="10" t="s">
        <v>70</v>
      </c>
      <c r="C10" s="35" t="s">
        <v>98</v>
      </c>
      <c r="D10" s="39" t="s">
        <v>99</v>
      </c>
      <c r="E10" s="36"/>
      <c r="F10" s="7" t="s">
        <v>34</v>
      </c>
      <c r="G10" s="9" t="s">
        <v>90</v>
      </c>
      <c r="H10" s="52" t="s">
        <v>100</v>
      </c>
      <c r="I10" s="52" t="s">
        <v>101</v>
      </c>
      <c r="J10" s="7" t="s">
        <v>76</v>
      </c>
      <c r="K10" s="52" t="s">
        <v>102</v>
      </c>
      <c r="L10" s="9" t="s">
        <v>103</v>
      </c>
      <c r="M10" s="9" t="s">
        <v>104</v>
      </c>
      <c r="N10" s="52" t="s">
        <v>105</v>
      </c>
      <c r="O10" s="36"/>
      <c r="P10" s="36"/>
      <c r="Q10" s="36"/>
      <c r="R10" s="9"/>
      <c r="S10" s="9" t="s">
        <v>106</v>
      </c>
      <c r="T10" s="52" t="s">
        <v>107</v>
      </c>
      <c r="U10" s="39" t="s">
        <v>97</v>
      </c>
      <c r="V10" s="48"/>
      <c r="W10" s="36">
        <v>40.962466297602461</v>
      </c>
      <c r="X10" s="36">
        <v>25.836165356990129</v>
      </c>
    </row>
    <row r="11" spans="1:24" ht="60" customHeight="1" x14ac:dyDescent="0.3">
      <c r="A11" s="8">
        <v>8</v>
      </c>
      <c r="B11" s="10" t="s">
        <v>70</v>
      </c>
      <c r="C11" s="33" t="s">
        <v>108</v>
      </c>
      <c r="D11" s="37" t="s">
        <v>109</v>
      </c>
      <c r="E11" s="34"/>
      <c r="F11" s="7" t="s">
        <v>34</v>
      </c>
      <c r="G11" s="7" t="s">
        <v>90</v>
      </c>
      <c r="H11" s="9" t="s">
        <v>100</v>
      </c>
      <c r="I11" s="51" t="s">
        <v>110</v>
      </c>
      <c r="J11" s="7" t="s">
        <v>76</v>
      </c>
      <c r="K11" s="7" t="s">
        <v>102</v>
      </c>
      <c r="L11" s="7" t="s">
        <v>111</v>
      </c>
      <c r="M11" s="51" t="s">
        <v>112</v>
      </c>
      <c r="N11" s="51" t="s">
        <v>297</v>
      </c>
      <c r="O11" s="34"/>
      <c r="P11" s="34"/>
      <c r="Q11" s="34"/>
      <c r="R11" s="7"/>
      <c r="S11" s="7" t="s">
        <v>106</v>
      </c>
      <c r="T11" s="37" t="s">
        <v>113</v>
      </c>
      <c r="U11" s="37" t="s">
        <v>97</v>
      </c>
      <c r="V11" s="47"/>
      <c r="W11" s="34">
        <v>41.133667499068558</v>
      </c>
      <c r="X11" s="34">
        <v>25.206122233038158</v>
      </c>
    </row>
    <row r="12" spans="1:24" ht="60" customHeight="1" x14ac:dyDescent="0.3">
      <c r="A12" s="6">
        <v>9</v>
      </c>
      <c r="B12" s="10" t="s">
        <v>70</v>
      </c>
      <c r="C12" s="40" t="s">
        <v>114</v>
      </c>
      <c r="D12" s="37" t="s">
        <v>115</v>
      </c>
      <c r="E12" s="34" t="s">
        <v>116</v>
      </c>
      <c r="F12" s="7" t="s">
        <v>34</v>
      </c>
      <c r="G12" s="7" t="s">
        <v>117</v>
      </c>
      <c r="H12" s="51" t="s">
        <v>118</v>
      </c>
      <c r="I12" s="51" t="s">
        <v>119</v>
      </c>
      <c r="J12" s="7" t="s">
        <v>76</v>
      </c>
      <c r="K12" s="51" t="s">
        <v>298</v>
      </c>
      <c r="L12" s="7" t="s">
        <v>103</v>
      </c>
      <c r="M12" s="37" t="s">
        <v>299</v>
      </c>
      <c r="N12" s="51" t="s">
        <v>120</v>
      </c>
      <c r="O12" s="34"/>
      <c r="P12" s="34"/>
      <c r="Q12" s="34"/>
      <c r="R12" s="7">
        <v>6054603</v>
      </c>
      <c r="S12" s="7" t="s">
        <v>106</v>
      </c>
      <c r="T12" s="51" t="s">
        <v>121</v>
      </c>
      <c r="U12" s="37" t="s">
        <v>122</v>
      </c>
      <c r="V12" s="47"/>
      <c r="W12" s="34">
        <v>38.168023093170177</v>
      </c>
      <c r="X12" s="34">
        <v>22.32814018832298</v>
      </c>
    </row>
    <row r="13" spans="1:24" ht="60" customHeight="1" x14ac:dyDescent="0.3">
      <c r="A13" s="8">
        <v>10</v>
      </c>
      <c r="B13" s="10" t="s">
        <v>70</v>
      </c>
      <c r="C13" s="33" t="s">
        <v>123</v>
      </c>
      <c r="D13" s="37" t="s">
        <v>124</v>
      </c>
      <c r="E13" s="34" t="s">
        <v>73</v>
      </c>
      <c r="F13" s="7" t="s">
        <v>34</v>
      </c>
      <c r="G13" s="7" t="s">
        <v>125</v>
      </c>
      <c r="H13" s="7" t="s">
        <v>126</v>
      </c>
      <c r="I13" s="51" t="s">
        <v>127</v>
      </c>
      <c r="J13" s="7" t="s">
        <v>128</v>
      </c>
      <c r="K13" s="7" t="s">
        <v>129</v>
      </c>
      <c r="L13" s="7" t="s">
        <v>130</v>
      </c>
      <c r="M13" s="51" t="s">
        <v>131</v>
      </c>
      <c r="N13" s="51" t="s">
        <v>132</v>
      </c>
      <c r="O13" s="34"/>
      <c r="P13" s="34"/>
      <c r="Q13" s="34"/>
      <c r="R13" s="7">
        <v>6050857</v>
      </c>
      <c r="S13" s="7" t="s">
        <v>42</v>
      </c>
      <c r="T13" s="51" t="s">
        <v>133</v>
      </c>
      <c r="U13" s="37" t="s">
        <v>134</v>
      </c>
      <c r="V13" s="47" t="s">
        <v>135</v>
      </c>
      <c r="W13" s="34">
        <v>41.112383117606761</v>
      </c>
      <c r="X13" s="34">
        <v>22.519681436103049</v>
      </c>
    </row>
    <row r="14" spans="1:24" ht="60" customHeight="1" x14ac:dyDescent="0.3">
      <c r="A14" s="8">
        <v>11</v>
      </c>
      <c r="B14" s="10" t="s">
        <v>70</v>
      </c>
      <c r="C14" s="33" t="s">
        <v>136</v>
      </c>
      <c r="D14" s="37" t="s">
        <v>137</v>
      </c>
      <c r="E14" s="34" t="s">
        <v>73</v>
      </c>
      <c r="F14" s="7" t="s">
        <v>34</v>
      </c>
      <c r="G14" s="7" t="s">
        <v>117</v>
      </c>
      <c r="H14" s="45" t="s">
        <v>138</v>
      </c>
      <c r="I14" s="51" t="s">
        <v>139</v>
      </c>
      <c r="J14" s="7" t="s">
        <v>140</v>
      </c>
      <c r="K14" s="7" t="s">
        <v>141</v>
      </c>
      <c r="L14" s="58" t="s">
        <v>142</v>
      </c>
      <c r="M14" s="51" t="s">
        <v>143</v>
      </c>
      <c r="N14" s="51" t="s">
        <v>300</v>
      </c>
      <c r="O14" s="63" t="s">
        <v>144</v>
      </c>
      <c r="P14" s="34" t="s">
        <v>145</v>
      </c>
      <c r="Q14" s="34"/>
      <c r="R14" s="7">
        <v>6053306</v>
      </c>
      <c r="S14" s="7" t="s">
        <v>57</v>
      </c>
      <c r="T14" s="51" t="s">
        <v>146</v>
      </c>
      <c r="U14" s="37" t="e" cm="1">
        <f t="array" ref="U14">- Επίσπευση εργασιών μετατόπισης εναέριων γραμμών μέσης τάσης από ΔΕΔΔΗΕ
- Ανάθεση της κατασκευής της νέας διασυνδετήριας Γραμμής Μεταφοράς και της κατασκευής του Τμήματος Σύνδεσης του Yποσταθμού του ΟΣΕ με το Σύστημα Μεταφοράς Ηλεκτρικής Ενέργειας της ΑΔΜΗΕ</f>
        <v>#NAME?</v>
      </c>
      <c r="V14" s="49" t="s">
        <v>147</v>
      </c>
      <c r="W14" s="34">
        <v>39.619735319793129</v>
      </c>
      <c r="X14" s="34">
        <v>21.705774205449529</v>
      </c>
    </row>
    <row r="15" spans="1:24" ht="60" customHeight="1" x14ac:dyDescent="0.3">
      <c r="A15" s="6">
        <v>12</v>
      </c>
      <c r="B15" s="10" t="s">
        <v>70</v>
      </c>
      <c r="C15" s="35" t="s">
        <v>148</v>
      </c>
      <c r="D15" s="39" t="s">
        <v>149</v>
      </c>
      <c r="E15" s="36" t="s">
        <v>150</v>
      </c>
      <c r="F15" s="7" t="s">
        <v>34</v>
      </c>
      <c r="G15" s="9" t="s">
        <v>151</v>
      </c>
      <c r="H15" s="9" t="s">
        <v>152</v>
      </c>
      <c r="I15" s="52" t="s">
        <v>153</v>
      </c>
      <c r="J15" s="9" t="s">
        <v>154</v>
      </c>
      <c r="K15" s="9" t="s">
        <v>155</v>
      </c>
      <c r="L15" s="9" t="s">
        <v>156</v>
      </c>
      <c r="M15" s="39" t="s">
        <v>157</v>
      </c>
      <c r="N15" s="52" t="s">
        <v>301</v>
      </c>
      <c r="O15" s="36" t="s">
        <v>158</v>
      </c>
      <c r="P15" s="36" t="s">
        <v>145</v>
      </c>
      <c r="Q15" s="36"/>
      <c r="R15" s="9"/>
      <c r="S15" s="9"/>
      <c r="T15" s="52" t="s">
        <v>159</v>
      </c>
      <c r="U15" s="61" t="s">
        <v>160</v>
      </c>
      <c r="V15" s="48"/>
      <c r="W15" s="36">
        <v>39.551804974627508</v>
      </c>
      <c r="X15" s="36">
        <v>22.607329817524061</v>
      </c>
    </row>
    <row r="16" spans="1:24" ht="60" customHeight="1" x14ac:dyDescent="0.3">
      <c r="A16" s="8">
        <v>13</v>
      </c>
      <c r="B16" s="10" t="s">
        <v>70</v>
      </c>
      <c r="C16" s="50" t="s">
        <v>161</v>
      </c>
      <c r="D16" s="37" t="s">
        <v>162</v>
      </c>
      <c r="E16" s="34" t="s">
        <v>73</v>
      </c>
      <c r="F16" s="7" t="s">
        <v>34</v>
      </c>
      <c r="G16" s="7" t="s">
        <v>125</v>
      </c>
      <c r="H16" s="7" t="s">
        <v>163</v>
      </c>
      <c r="I16" s="51" t="s">
        <v>164</v>
      </c>
      <c r="J16" s="7" t="s">
        <v>165</v>
      </c>
      <c r="K16" s="7" t="s">
        <v>166</v>
      </c>
      <c r="L16" s="7" t="s">
        <v>167</v>
      </c>
      <c r="M16" s="7" t="s">
        <v>168</v>
      </c>
      <c r="N16" s="51" t="s">
        <v>302</v>
      </c>
      <c r="O16" s="34"/>
      <c r="P16" s="34"/>
      <c r="Q16" s="34"/>
      <c r="R16" s="7">
        <v>6050820</v>
      </c>
      <c r="S16" s="7" t="s">
        <v>57</v>
      </c>
      <c r="T16" s="51" t="s">
        <v>169</v>
      </c>
      <c r="U16" s="44" t="s">
        <v>170</v>
      </c>
      <c r="V16" s="47" t="s">
        <v>135</v>
      </c>
      <c r="W16" s="34">
        <v>38.110463375376852</v>
      </c>
      <c r="X16" s="34">
        <v>22.52442504372862</v>
      </c>
    </row>
    <row r="17" spans="1:24" ht="60" customHeight="1" x14ac:dyDescent="0.3">
      <c r="A17" s="8">
        <v>14</v>
      </c>
      <c r="B17" s="10" t="s">
        <v>70</v>
      </c>
      <c r="C17" s="43" t="s">
        <v>171</v>
      </c>
      <c r="D17" s="39" t="s">
        <v>172</v>
      </c>
      <c r="E17" s="36" t="s">
        <v>73</v>
      </c>
      <c r="F17" s="7" t="s">
        <v>34</v>
      </c>
      <c r="G17" s="9" t="s">
        <v>117</v>
      </c>
      <c r="H17" s="9" t="s">
        <v>152</v>
      </c>
      <c r="I17" s="52" t="s">
        <v>173</v>
      </c>
      <c r="J17" s="9" t="s">
        <v>174</v>
      </c>
      <c r="K17" s="9" t="s">
        <v>175</v>
      </c>
      <c r="L17" s="9" t="s">
        <v>176</v>
      </c>
      <c r="M17" s="52" t="s">
        <v>177</v>
      </c>
      <c r="N17" s="52" t="s">
        <v>303</v>
      </c>
      <c r="O17" s="36"/>
      <c r="P17" s="36"/>
      <c r="Q17" s="36"/>
      <c r="R17" s="9"/>
      <c r="S17" s="9" t="s">
        <v>57</v>
      </c>
      <c r="T17" s="52" t="s">
        <v>178</v>
      </c>
      <c r="U17" s="64" t="s">
        <v>304</v>
      </c>
      <c r="V17" s="48"/>
      <c r="W17" s="36">
        <v>38.314214194083512</v>
      </c>
      <c r="X17" s="36">
        <v>21.981328279432589</v>
      </c>
    </row>
    <row r="18" spans="1:24" ht="60" customHeight="1" x14ac:dyDescent="0.3">
      <c r="A18" s="6">
        <v>15</v>
      </c>
      <c r="B18" s="10" t="s">
        <v>70</v>
      </c>
      <c r="C18" s="50" t="s">
        <v>179</v>
      </c>
      <c r="D18" s="37" t="s">
        <v>180</v>
      </c>
      <c r="E18" s="34" t="s">
        <v>73</v>
      </c>
      <c r="F18" s="7" t="s">
        <v>34</v>
      </c>
      <c r="G18" s="7" t="s">
        <v>117</v>
      </c>
      <c r="H18" s="7" t="s">
        <v>152</v>
      </c>
      <c r="I18" s="7" t="s">
        <v>181</v>
      </c>
      <c r="J18" s="7" t="s">
        <v>140</v>
      </c>
      <c r="K18" s="7" t="s">
        <v>182</v>
      </c>
      <c r="L18" s="7" t="s">
        <v>183</v>
      </c>
      <c r="M18" s="51" t="s">
        <v>184</v>
      </c>
      <c r="N18" s="51" t="s">
        <v>305</v>
      </c>
      <c r="O18" s="34"/>
      <c r="P18" s="34"/>
      <c r="Q18" s="34"/>
      <c r="R18" s="7"/>
      <c r="S18" s="7" t="s">
        <v>57</v>
      </c>
      <c r="T18" s="37" t="s">
        <v>185</v>
      </c>
      <c r="U18" s="41" t="s">
        <v>186</v>
      </c>
      <c r="V18" s="47"/>
      <c r="W18" s="34">
        <v>38.131344394441527</v>
      </c>
      <c r="X18" s="34">
        <v>23.84422214253571</v>
      </c>
    </row>
    <row r="19" spans="1:24" ht="60" customHeight="1" x14ac:dyDescent="0.3">
      <c r="A19" s="8">
        <v>16</v>
      </c>
      <c r="B19" s="54" t="s">
        <v>187</v>
      </c>
      <c r="C19" s="56" t="s">
        <v>188</v>
      </c>
      <c r="D19" s="39" t="s">
        <v>189</v>
      </c>
      <c r="E19" s="36" t="s">
        <v>33</v>
      </c>
      <c r="F19" s="9" t="s">
        <v>190</v>
      </c>
      <c r="G19" s="9" t="s">
        <v>187</v>
      </c>
      <c r="H19" s="9" t="s">
        <v>191</v>
      </c>
      <c r="I19" s="9" t="s">
        <v>192</v>
      </c>
      <c r="J19" s="9" t="s">
        <v>193</v>
      </c>
      <c r="K19" s="9" t="s">
        <v>194</v>
      </c>
      <c r="L19" s="9" t="s">
        <v>195</v>
      </c>
      <c r="M19" s="9" t="s">
        <v>196</v>
      </c>
      <c r="N19" s="9" t="s">
        <v>306</v>
      </c>
      <c r="O19" s="36" t="s">
        <v>197</v>
      </c>
      <c r="P19" s="36" t="s">
        <v>198</v>
      </c>
      <c r="Q19" s="36" t="s">
        <v>199</v>
      </c>
      <c r="R19" s="9" t="s">
        <v>200</v>
      </c>
      <c r="S19" s="9" t="s">
        <v>57</v>
      </c>
      <c r="T19" s="39" t="s">
        <v>201</v>
      </c>
      <c r="U19" s="9"/>
      <c r="V19" s="9"/>
      <c r="W19" s="36">
        <v>37.99420572709171</v>
      </c>
      <c r="X19" s="36">
        <v>23.720471716387301</v>
      </c>
    </row>
    <row r="20" spans="1:24" ht="60" customHeight="1" x14ac:dyDescent="0.3">
      <c r="A20" s="8">
        <v>17</v>
      </c>
      <c r="B20" s="53" t="s">
        <v>202</v>
      </c>
      <c r="C20" s="33" t="s">
        <v>203</v>
      </c>
      <c r="D20" s="7" t="s">
        <v>204</v>
      </c>
      <c r="E20" s="34" t="s">
        <v>205</v>
      </c>
      <c r="F20" s="51" t="s">
        <v>206</v>
      </c>
      <c r="G20" s="7" t="s">
        <v>202</v>
      </c>
      <c r="H20" s="7" t="s">
        <v>207</v>
      </c>
      <c r="I20" s="7" t="s">
        <v>208</v>
      </c>
      <c r="J20" s="7"/>
      <c r="K20" s="7" t="s">
        <v>93</v>
      </c>
      <c r="L20" s="7" t="s">
        <v>94</v>
      </c>
      <c r="M20" s="37" t="s">
        <v>209</v>
      </c>
      <c r="N20" s="7" t="s">
        <v>307</v>
      </c>
      <c r="O20" s="34"/>
      <c r="P20" s="34"/>
      <c r="Q20" s="34"/>
      <c r="R20" s="37" t="s">
        <v>210</v>
      </c>
      <c r="S20" s="7" t="s">
        <v>79</v>
      </c>
      <c r="T20" s="7" t="s">
        <v>308</v>
      </c>
      <c r="U20" s="44" t="s">
        <v>211</v>
      </c>
      <c r="V20" s="7"/>
      <c r="W20" s="34">
        <v>41.565681227531449</v>
      </c>
      <c r="X20" s="34">
        <v>26.53478011452405</v>
      </c>
    </row>
    <row r="21" spans="1:24" ht="60" customHeight="1" x14ac:dyDescent="0.3">
      <c r="A21" s="6">
        <v>18</v>
      </c>
      <c r="B21" s="53" t="s">
        <v>202</v>
      </c>
      <c r="C21" s="35" t="s">
        <v>212</v>
      </c>
      <c r="D21" s="9" t="s">
        <v>213</v>
      </c>
      <c r="E21" s="36" t="s">
        <v>73</v>
      </c>
      <c r="F21" s="51" t="s">
        <v>206</v>
      </c>
      <c r="G21" s="9" t="s">
        <v>202</v>
      </c>
      <c r="H21" s="9" t="s">
        <v>214</v>
      </c>
      <c r="I21" s="9" t="s">
        <v>208</v>
      </c>
      <c r="J21" s="9" t="s">
        <v>76</v>
      </c>
      <c r="K21" s="9" t="s">
        <v>93</v>
      </c>
      <c r="L21" s="9" t="s">
        <v>94</v>
      </c>
      <c r="M21" s="9" t="s">
        <v>215</v>
      </c>
      <c r="N21" s="9" t="s">
        <v>307</v>
      </c>
      <c r="O21" s="36"/>
      <c r="P21" s="36"/>
      <c r="Q21" s="36"/>
      <c r="R21" s="39" t="s">
        <v>216</v>
      </c>
      <c r="S21" s="9" t="s">
        <v>79</v>
      </c>
      <c r="T21" s="9" t="s">
        <v>309</v>
      </c>
      <c r="U21" s="55" t="s">
        <v>217</v>
      </c>
      <c r="V21" s="9"/>
      <c r="W21" s="36">
        <v>40.901480993424073</v>
      </c>
      <c r="X21" s="36">
        <v>26.196887187582391</v>
      </c>
    </row>
    <row r="22" spans="1:24" ht="60" customHeight="1" x14ac:dyDescent="0.3">
      <c r="A22" s="8">
        <v>19</v>
      </c>
      <c r="B22" s="53" t="s">
        <v>202</v>
      </c>
      <c r="C22" s="35" t="s">
        <v>218</v>
      </c>
      <c r="D22" s="39" t="s">
        <v>219</v>
      </c>
      <c r="E22" s="36" t="s">
        <v>73</v>
      </c>
      <c r="F22" s="51" t="s">
        <v>206</v>
      </c>
      <c r="G22" s="9" t="s">
        <v>202</v>
      </c>
      <c r="H22" s="9" t="s">
        <v>220</v>
      </c>
      <c r="I22" s="9" t="s">
        <v>221</v>
      </c>
      <c r="J22" s="9" t="s">
        <v>222</v>
      </c>
      <c r="K22" s="9" t="s">
        <v>76</v>
      </c>
      <c r="L22" s="9" t="s">
        <v>223</v>
      </c>
      <c r="M22" s="9" t="s">
        <v>224</v>
      </c>
      <c r="N22" s="52" t="s">
        <v>310</v>
      </c>
      <c r="O22" s="36"/>
      <c r="P22" s="36"/>
      <c r="Q22" s="36"/>
      <c r="R22" s="9" t="s">
        <v>225</v>
      </c>
      <c r="S22" s="9" t="s">
        <v>226</v>
      </c>
      <c r="T22" s="9" t="s">
        <v>227</v>
      </c>
      <c r="U22" s="39" t="s">
        <v>228</v>
      </c>
      <c r="V22" s="9"/>
      <c r="W22" s="36">
        <v>40.987267122663681</v>
      </c>
      <c r="X22" s="36">
        <v>24.566390683290059</v>
      </c>
    </row>
    <row r="23" spans="1:24" ht="60" customHeight="1" x14ac:dyDescent="0.3">
      <c r="A23" s="8">
        <v>20</v>
      </c>
      <c r="B23" s="53" t="s">
        <v>202</v>
      </c>
      <c r="C23" s="40" t="s">
        <v>229</v>
      </c>
      <c r="D23" s="51" t="s">
        <v>230</v>
      </c>
      <c r="E23" s="34" t="s">
        <v>73</v>
      </c>
      <c r="F23" s="51" t="s">
        <v>206</v>
      </c>
      <c r="G23" s="7" t="s">
        <v>202</v>
      </c>
      <c r="H23" s="51" t="s">
        <v>231</v>
      </c>
      <c r="I23" s="7"/>
      <c r="J23" s="7" t="s">
        <v>76</v>
      </c>
      <c r="K23" s="7" t="s">
        <v>232</v>
      </c>
      <c r="L23" s="7" t="s">
        <v>76</v>
      </c>
      <c r="M23" s="51" t="s">
        <v>233</v>
      </c>
      <c r="N23" s="51" t="s">
        <v>311</v>
      </c>
      <c r="O23" s="34"/>
      <c r="P23" s="34"/>
      <c r="Q23" s="34"/>
      <c r="R23" s="7" t="s">
        <v>235</v>
      </c>
      <c r="S23" s="7" t="s">
        <v>106</v>
      </c>
      <c r="T23" s="51" t="s">
        <v>236</v>
      </c>
      <c r="U23" s="51" t="s">
        <v>237</v>
      </c>
      <c r="V23" s="7"/>
      <c r="W23" s="34">
        <v>41.326199608670549</v>
      </c>
      <c r="X23" s="34">
        <v>23.35024303680261</v>
      </c>
    </row>
    <row r="24" spans="1:24" ht="60" customHeight="1" x14ac:dyDescent="0.3">
      <c r="A24" s="6">
        <v>21</v>
      </c>
      <c r="B24" s="53" t="s">
        <v>202</v>
      </c>
      <c r="C24" s="35" t="s">
        <v>238</v>
      </c>
      <c r="D24" s="39" t="s">
        <v>239</v>
      </c>
      <c r="E24" s="36" t="s">
        <v>73</v>
      </c>
      <c r="F24" s="51" t="s">
        <v>206</v>
      </c>
      <c r="G24" s="9" t="s">
        <v>202</v>
      </c>
      <c r="H24" s="9" t="s">
        <v>240</v>
      </c>
      <c r="I24" s="9"/>
      <c r="J24" s="9" t="s">
        <v>76</v>
      </c>
      <c r="K24" s="9" t="s">
        <v>232</v>
      </c>
      <c r="L24" s="9" t="s">
        <v>76</v>
      </c>
      <c r="M24" s="52" t="s">
        <v>241</v>
      </c>
      <c r="N24" s="52" t="s">
        <v>242</v>
      </c>
      <c r="O24" s="36"/>
      <c r="P24" s="36"/>
      <c r="Q24" s="36"/>
      <c r="R24" s="9" t="s">
        <v>243</v>
      </c>
      <c r="S24" s="9" t="s">
        <v>106</v>
      </c>
      <c r="T24" s="39" t="s">
        <v>244</v>
      </c>
      <c r="U24" s="52" t="s">
        <v>245</v>
      </c>
      <c r="V24" s="9"/>
      <c r="W24" s="36">
        <v>38.084204458096693</v>
      </c>
      <c r="X24" s="36">
        <v>23.637995691207969</v>
      </c>
    </row>
    <row r="25" spans="1:24" ht="60" customHeight="1" x14ac:dyDescent="0.3">
      <c r="A25" s="8">
        <v>22</v>
      </c>
      <c r="B25" s="53" t="s">
        <v>202</v>
      </c>
      <c r="C25" s="33" t="s">
        <v>246</v>
      </c>
      <c r="D25" s="37" t="s">
        <v>247</v>
      </c>
      <c r="E25" s="34" t="s">
        <v>73</v>
      </c>
      <c r="F25" s="51" t="s">
        <v>206</v>
      </c>
      <c r="G25" s="7" t="s">
        <v>202</v>
      </c>
      <c r="H25" s="7" t="s">
        <v>248</v>
      </c>
      <c r="I25" s="7"/>
      <c r="J25" s="7" t="s">
        <v>76</v>
      </c>
      <c r="K25" s="7" t="s">
        <v>232</v>
      </c>
      <c r="L25" s="7" t="s">
        <v>76</v>
      </c>
      <c r="M25" s="7" t="s">
        <v>249</v>
      </c>
      <c r="N25" s="51" t="s">
        <v>234</v>
      </c>
      <c r="O25" s="34"/>
      <c r="P25" s="34"/>
      <c r="Q25" s="34"/>
      <c r="R25" s="7" t="s">
        <v>250</v>
      </c>
      <c r="S25" s="7" t="s">
        <v>106</v>
      </c>
      <c r="T25" s="37" t="s">
        <v>251</v>
      </c>
      <c r="U25" s="51" t="s">
        <v>252</v>
      </c>
      <c r="V25" s="7"/>
      <c r="W25" s="34">
        <v>38.315353331132698</v>
      </c>
      <c r="X25" s="34">
        <v>23.621832929800469</v>
      </c>
    </row>
  </sheetData>
  <autoFilter ref="A3:AE25" xr:uid="{00000000-0009-0000-0000-000000000000}"/>
  <mergeCells count="4">
    <mergeCell ref="A2:F2"/>
    <mergeCell ref="R2:V2"/>
    <mergeCell ref="G2:Q2"/>
    <mergeCell ref="W2:X2"/>
  </mergeCell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0"/>
  <sheetViews>
    <sheetView workbookViewId="0">
      <selection activeCell="A18" sqref="A18:XFD18"/>
    </sheetView>
  </sheetViews>
  <sheetFormatPr defaultRowHeight="14.4" x14ac:dyDescent="0.3"/>
  <cols>
    <col min="1" max="1" width="22" customWidth="1"/>
    <col min="2" max="2" width="80" customWidth="1"/>
  </cols>
  <sheetData>
    <row r="1" spans="1:2" ht="24" customHeight="1" x14ac:dyDescent="0.3">
      <c r="A1" s="12" t="s">
        <v>253</v>
      </c>
      <c r="B1" s="12"/>
    </row>
    <row r="2" spans="1:2" ht="8.1" customHeight="1" x14ac:dyDescent="0.3">
      <c r="A2" s="13"/>
      <c r="B2" s="13"/>
    </row>
    <row r="3" spans="1:2" ht="15.9" customHeight="1" x14ac:dyDescent="0.3">
      <c r="A3" s="12" t="s">
        <v>254</v>
      </c>
      <c r="B3" s="12"/>
    </row>
    <row r="4" spans="1:2" ht="14.1" customHeight="1" x14ac:dyDescent="0.3">
      <c r="A4" s="13" t="s">
        <v>255</v>
      </c>
      <c r="B4" s="13" t="s">
        <v>256</v>
      </c>
    </row>
    <row r="5" spans="1:2" ht="6" customHeight="1" x14ac:dyDescent="0.3">
      <c r="A5" s="13"/>
      <c r="B5" s="13"/>
    </row>
    <row r="6" spans="1:2" ht="15.9" customHeight="1" x14ac:dyDescent="0.3">
      <c r="A6" s="14" t="s">
        <v>257</v>
      </c>
      <c r="B6" s="14"/>
    </row>
    <row r="7" spans="1:2" ht="14.1" customHeight="1" x14ac:dyDescent="0.3">
      <c r="A7" s="15" t="s">
        <v>258</v>
      </c>
      <c r="B7" s="15" t="s">
        <v>259</v>
      </c>
    </row>
    <row r="8" spans="1:2" ht="14.1" customHeight="1" x14ac:dyDescent="0.3">
      <c r="A8" s="16" t="s">
        <v>260</v>
      </c>
      <c r="B8" s="16" t="s">
        <v>261</v>
      </c>
    </row>
    <row r="9" spans="1:2" ht="14.1" customHeight="1" x14ac:dyDescent="0.3">
      <c r="A9" s="17" t="s">
        <v>262</v>
      </c>
      <c r="B9" s="17" t="s">
        <v>263</v>
      </c>
    </row>
    <row r="10" spans="1:2" ht="14.1" customHeight="1" x14ac:dyDescent="0.3">
      <c r="A10" s="18" t="s">
        <v>264</v>
      </c>
      <c r="B10" s="18" t="s">
        <v>265</v>
      </c>
    </row>
    <row r="11" spans="1:2" ht="6" customHeight="1" x14ac:dyDescent="0.3">
      <c r="A11" s="13"/>
      <c r="B11" s="13"/>
    </row>
    <row r="12" spans="1:2" ht="15.9" customHeight="1" x14ac:dyDescent="0.3">
      <c r="A12" s="14" t="s">
        <v>266</v>
      </c>
      <c r="B12" s="14"/>
    </row>
    <row r="13" spans="1:2" ht="14.1" customHeight="1" x14ac:dyDescent="0.3">
      <c r="A13" s="13" t="s">
        <v>267</v>
      </c>
      <c r="B13" s="13" t="s">
        <v>268</v>
      </c>
    </row>
    <row r="14" spans="1:2" ht="14.1" customHeight="1" x14ac:dyDescent="0.3">
      <c r="A14" s="13" t="s">
        <v>269</v>
      </c>
      <c r="B14" s="13" t="s">
        <v>270</v>
      </c>
    </row>
    <row r="15" spans="1:2" ht="14.1" customHeight="1" x14ac:dyDescent="0.3">
      <c r="A15" s="13" t="s">
        <v>271</v>
      </c>
      <c r="B15" s="13" t="s">
        <v>272</v>
      </c>
    </row>
    <row r="16" spans="1:2" ht="6" customHeight="1" x14ac:dyDescent="0.3">
      <c r="A16" s="13"/>
      <c r="B16" s="13"/>
    </row>
    <row r="17" spans="1:2" ht="15.9" customHeight="1" x14ac:dyDescent="0.3">
      <c r="A17" s="19" t="s">
        <v>273</v>
      </c>
      <c r="B17" s="19"/>
    </row>
    <row r="18" spans="1:2" ht="39" customHeight="1" x14ac:dyDescent="0.3">
      <c r="A18" s="15" t="s">
        <v>274</v>
      </c>
      <c r="B18" s="15" t="s">
        <v>275</v>
      </c>
    </row>
    <row r="19" spans="1:2" ht="14.1" customHeight="1" x14ac:dyDescent="0.3">
      <c r="A19" s="15" t="s">
        <v>276</v>
      </c>
      <c r="B19" s="15" t="s">
        <v>277</v>
      </c>
    </row>
    <row r="20" spans="1:2" ht="14.1" customHeight="1" x14ac:dyDescent="0.3">
      <c r="A20" s="15" t="s">
        <v>6</v>
      </c>
      <c r="B20" s="15" t="s">
        <v>278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
  <sheetViews>
    <sheetView workbookViewId="0"/>
  </sheetViews>
  <sheetFormatPr defaultRowHeight="14.4" x14ac:dyDescent="0.3"/>
  <cols>
    <col min="1" max="1" width="20" customWidth="1"/>
    <col min="2" max="2" width="12" customWidth="1"/>
    <col min="3" max="3" width="50" customWidth="1"/>
  </cols>
  <sheetData>
    <row r="1" spans="1:3" x14ac:dyDescent="0.3">
      <c r="A1" s="20" t="s">
        <v>12</v>
      </c>
      <c r="B1" s="20" t="s">
        <v>279</v>
      </c>
      <c r="C1" s="20" t="s">
        <v>280</v>
      </c>
    </row>
    <row r="2" spans="1:3" x14ac:dyDescent="0.3">
      <c r="A2" s="21" t="s">
        <v>30</v>
      </c>
      <c r="B2" s="22" t="s">
        <v>281</v>
      </c>
      <c r="C2" s="23" t="s">
        <v>30</v>
      </c>
    </row>
    <row r="3" spans="1:3" x14ac:dyDescent="0.3">
      <c r="A3" s="24" t="s">
        <v>70</v>
      </c>
      <c r="B3" s="25" t="s">
        <v>281</v>
      </c>
      <c r="C3" s="23" t="s">
        <v>70</v>
      </c>
    </row>
    <row r="4" spans="1:3" x14ac:dyDescent="0.3">
      <c r="A4" s="26" t="s">
        <v>282</v>
      </c>
      <c r="B4" s="27" t="s">
        <v>281</v>
      </c>
      <c r="C4" s="23" t="s">
        <v>282</v>
      </c>
    </row>
    <row r="5" spans="1:3" x14ac:dyDescent="0.3">
      <c r="A5" s="28" t="s">
        <v>283</v>
      </c>
      <c r="B5" s="29" t="s">
        <v>281</v>
      </c>
      <c r="C5" s="23" t="s">
        <v>283</v>
      </c>
    </row>
    <row r="6" spans="1:3" x14ac:dyDescent="0.3">
      <c r="A6" s="30" t="s">
        <v>284</v>
      </c>
      <c r="B6" s="31" t="s">
        <v>281</v>
      </c>
      <c r="C6" s="23" t="s">
        <v>284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ΒΑΣΗ ΕΡΓΩΝ</vt:lpstr>
      <vt:lpstr>📖 ΟΔΗΓΙΕΣ</vt:lpstr>
      <vt:lpstr>Προγράμματα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ΚΟΥΡΟΥΚΛΗΣ ΧΑΡΑΛΑΜΠΟΣ</cp:lastModifiedBy>
  <dcterms:created xsi:type="dcterms:W3CDTF">2026-06-25T07:36:30Z</dcterms:created>
  <dcterms:modified xsi:type="dcterms:W3CDTF">2026-10-30T11:38:02Z</dcterms:modified>
</cp:coreProperties>
</file>